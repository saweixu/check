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24226"/>
  <mc:AlternateContent xmlns:mc="http://schemas.openxmlformats.org/markup-compatibility/2006">
    <mc:Choice Requires="x15">
      <x15ac:absPath xmlns:x15ac="http://schemas.microsoft.com/office/spreadsheetml/2010/11/ac" url="C:\work\updated\repo\TransitNetRest\TransitNet_Paths\declaration\template\"/>
    </mc:Choice>
  </mc:AlternateContent>
  <xr:revisionPtr revIDLastSave="0" documentId="13_ncr:1_{EA5F1212-88C9-481B-8BCD-528EA9FEEA90}" xr6:coauthVersionLast="47" xr6:coauthVersionMax="47" xr10:uidLastSave="{00000000-0000-0000-0000-000000000000}"/>
  <bookViews>
    <workbookView xWindow="-110" yWindow="-110" windowWidth="25820" windowHeight="15500" xr2:uid="{8AD17EA5-7968-45A4-B950-A9846ABB13E1}"/>
  </bookViews>
  <sheets>
    <sheet name="Data" sheetId="1" r:id="rId1"/>
    <sheet name="documentation" sheetId="2" state="hidden" r:id="rId2"/>
  </sheets>
  <definedNames>
    <definedName name="_xlnm._FilterDatabase" localSheetId="0" hidden="1">Data!#REF!</definedName>
    <definedName name="ADDITIONAL_INFO_IDENT_CODE">documentation!$X$2:$X$13</definedName>
    <definedName name="Additional_Reference_Code">documentation!$BJ$2:$BJ$106</definedName>
    <definedName name="ASV__vol">documentation!$BB$3:$BB$68</definedName>
    <definedName name="COUNTRY_CODE" localSheetId="0">documentation!$P$2:$P$256</definedName>
    <definedName name="COUNTRY_TRADE_CODE">documentation!$AX$2:$AX$244</definedName>
    <definedName name="CURRENCY_CODE" localSheetId="0">documentation!$H$2:$H$171</definedName>
    <definedName name="Declaration_Type_Code">documentation!$BR$2:$BR$4</definedName>
    <definedName name="DELIVERY_TERMS_CODE">documentation!$AL$2:$AL$17</definedName>
    <definedName name="DISCHARGING_DECLARATION_CODE" localSheetId="0">documentation!$AB$2:$AB$5</definedName>
    <definedName name="DOCUMENT_TYPE_CODE">documentation!$L$2:$L$58</definedName>
    <definedName name="DOCUMENT_TYPE_CODE_BY">documentation!$AH$2:$AH$43</definedName>
    <definedName name="Export_From_EU" localSheetId="0">documentation!$AD$2:$AD$3</definedName>
    <definedName name="Measure_Unit_Code">documentation!$BB$2:$BB$68</definedName>
    <definedName name="PACKAGE_CODE" localSheetId="0">documentation!$D$2:$D$408</definedName>
    <definedName name="PAYMENT_TYPE_CODE">documentation!$AP$2:$AP$14</definedName>
    <definedName name="Person_Type_Code">documentation!$BN$2:$BN$4</definedName>
    <definedName name="PREVIOUS_DOCUMENT_TYPE_CODE" localSheetId="0">documentation!$T$2:$T$40</definedName>
    <definedName name="TRANSACTION_TYPE_CODE">documentation!$AT$2:$AT$30</definedName>
    <definedName name="Transport_Document_Code">documentation!$BF$2:$BF$21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R3" i="2" l="1"/>
  <c r="BJ106" i="2"/>
  <c r="BJ105" i="2"/>
  <c r="BJ104" i="2"/>
  <c r="BJ103" i="2"/>
  <c r="BJ102" i="2"/>
  <c r="BJ101" i="2"/>
  <c r="BJ100" i="2"/>
  <c r="BJ99" i="2"/>
  <c r="BJ98" i="2"/>
  <c r="BJ97" i="2"/>
  <c r="BJ96" i="2"/>
  <c r="BJ95" i="2"/>
  <c r="BJ94" i="2"/>
  <c r="BJ93" i="2"/>
  <c r="BJ92" i="2"/>
  <c r="BJ91" i="2"/>
  <c r="BJ90" i="2"/>
  <c r="BJ89" i="2"/>
  <c r="BJ88" i="2"/>
  <c r="BJ87" i="2"/>
  <c r="BJ86" i="2"/>
  <c r="BJ85" i="2"/>
  <c r="BJ84" i="2"/>
  <c r="BJ83" i="2"/>
  <c r="BJ82" i="2"/>
  <c r="BJ81" i="2"/>
  <c r="BJ80" i="2"/>
  <c r="BJ79" i="2"/>
  <c r="BJ78" i="2"/>
  <c r="BJ77" i="2"/>
  <c r="BJ76" i="2"/>
  <c r="BJ75" i="2"/>
  <c r="BJ74" i="2"/>
  <c r="BJ73" i="2"/>
  <c r="BJ72" i="2"/>
  <c r="BJ71" i="2"/>
  <c r="BJ70" i="2"/>
  <c r="BJ69" i="2"/>
  <c r="BJ68" i="2"/>
  <c r="BJ67" i="2"/>
  <c r="BJ66" i="2"/>
  <c r="BJ65" i="2"/>
  <c r="BJ64" i="2"/>
  <c r="BJ63" i="2"/>
  <c r="BJ62" i="2"/>
  <c r="BJ61" i="2"/>
  <c r="BJ60" i="2"/>
  <c r="BJ59" i="2"/>
  <c r="BJ58" i="2"/>
  <c r="BJ57" i="2"/>
  <c r="BJ56" i="2"/>
  <c r="BJ55" i="2"/>
  <c r="BJ54" i="2"/>
  <c r="BJ41" i="2"/>
  <c r="BJ42" i="2"/>
  <c r="BJ43" i="2"/>
  <c r="BJ44" i="2"/>
  <c r="BJ45" i="2"/>
  <c r="BJ46" i="2"/>
  <c r="BJ47" i="2"/>
  <c r="BJ48" i="2"/>
  <c r="BJ49" i="2"/>
  <c r="BJ50" i="2"/>
  <c r="BJ51" i="2"/>
  <c r="BJ52" i="2"/>
  <c r="BJ53" i="2"/>
  <c r="BJ2" i="2"/>
  <c r="BJ3" i="2"/>
  <c r="BJ4" i="2"/>
  <c r="BJ5" i="2"/>
  <c r="BJ6" i="2"/>
  <c r="BJ7" i="2"/>
  <c r="BJ8" i="2"/>
  <c r="BJ9" i="2"/>
  <c r="BJ10" i="2"/>
  <c r="BJ11" i="2"/>
  <c r="BJ12" i="2"/>
  <c r="BJ13" i="2"/>
  <c r="BJ14" i="2"/>
  <c r="BJ15" i="2"/>
  <c r="BJ16" i="2"/>
  <c r="BJ17" i="2"/>
  <c r="BJ18" i="2"/>
  <c r="BJ19" i="2"/>
  <c r="BJ20" i="2"/>
  <c r="BJ21" i="2"/>
  <c r="BJ22" i="2"/>
  <c r="BJ23" i="2"/>
  <c r="BJ24" i="2"/>
  <c r="BJ25" i="2"/>
  <c r="BJ26" i="2"/>
  <c r="BJ27" i="2"/>
  <c r="BJ28" i="2"/>
  <c r="BJ29" i="2"/>
  <c r="BJ30" i="2"/>
  <c r="BJ31" i="2"/>
  <c r="BJ32" i="2"/>
  <c r="BJ33" i="2"/>
  <c r="BJ34" i="2"/>
  <c r="BJ35" i="2"/>
  <c r="BJ36" i="2"/>
  <c r="BJ37" i="2"/>
  <c r="BJ38" i="2"/>
  <c r="BJ39" i="2"/>
  <c r="BJ40" i="2"/>
  <c r="BF19" i="2"/>
  <c r="BF20" i="2"/>
  <c r="BF21" i="2"/>
  <c r="L44" i="2"/>
  <c r="L45" i="2"/>
  <c r="L46" i="2"/>
  <c r="L47" i="2"/>
  <c r="L48" i="2"/>
  <c r="L49" i="2"/>
  <c r="L50" i="2"/>
  <c r="L51" i="2"/>
  <c r="L52" i="2"/>
  <c r="L53" i="2"/>
  <c r="L54" i="2"/>
  <c r="L55" i="2"/>
  <c r="L56" i="2"/>
  <c r="L57" i="2"/>
  <c r="L58" i="2"/>
  <c r="T40" i="2"/>
  <c r="X8" i="2"/>
  <c r="X9" i="2"/>
  <c r="X10" i="2"/>
  <c r="X11" i="2"/>
  <c r="X12" i="2"/>
  <c r="X13" i="2"/>
  <c r="BR4" i="2"/>
  <c r="BN4" i="2"/>
  <c r="BN3" i="2"/>
  <c r="BN2" i="2"/>
  <c r="D94"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 r="T39" i="2"/>
  <c r="X7" i="2"/>
  <c r="X6" i="2"/>
  <c r="H188" i="2"/>
  <c r="H187" i="2"/>
  <c r="H186" i="2"/>
  <c r="H185" i="2"/>
  <c r="H184" i="2"/>
  <c r="H183" i="2"/>
  <c r="H182" i="2"/>
  <c r="H181" i="2"/>
  <c r="H180" i="2"/>
  <c r="H179" i="2"/>
  <c r="H178" i="2"/>
  <c r="H177" i="2"/>
  <c r="H176" i="2"/>
  <c r="H175" i="2"/>
  <c r="H174" i="2"/>
  <c r="H173" i="2"/>
  <c r="H172" i="2"/>
  <c r="H171" i="2"/>
  <c r="H170" i="2"/>
  <c r="H169" i="2"/>
  <c r="H168" i="2"/>
  <c r="H167" i="2"/>
  <c r="H166" i="2"/>
  <c r="H165" i="2"/>
  <c r="H164" i="2"/>
  <c r="H163" i="2"/>
  <c r="H162" i="2"/>
  <c r="H161" i="2"/>
  <c r="H160" i="2"/>
  <c r="H159" i="2"/>
  <c r="H158" i="2"/>
  <c r="H157" i="2"/>
  <c r="H156" i="2"/>
  <c r="H155" i="2"/>
  <c r="H154" i="2"/>
  <c r="H153" i="2"/>
  <c r="H152" i="2"/>
  <c r="H151" i="2"/>
  <c r="H150" i="2"/>
  <c r="H149" i="2"/>
  <c r="H148" i="2"/>
  <c r="H147" i="2"/>
  <c r="H146" i="2"/>
  <c r="H145" i="2"/>
  <c r="H144" i="2"/>
  <c r="H143" i="2"/>
  <c r="H142" i="2"/>
  <c r="H141" i="2"/>
  <c r="H140" i="2"/>
  <c r="H139" i="2"/>
  <c r="H138" i="2"/>
  <c r="H137" i="2"/>
  <c r="H136" i="2"/>
  <c r="H135" i="2"/>
  <c r="H134" i="2"/>
  <c r="H133" i="2"/>
  <c r="H132" i="2"/>
  <c r="H131" i="2"/>
  <c r="H130" i="2"/>
  <c r="H129" i="2"/>
  <c r="H128" i="2"/>
  <c r="H127" i="2"/>
  <c r="H126" i="2"/>
  <c r="H125" i="2"/>
  <c r="H124" i="2"/>
  <c r="H123" i="2"/>
  <c r="H122" i="2"/>
  <c r="H121" i="2"/>
  <c r="H120" i="2"/>
  <c r="H119" i="2"/>
  <c r="H118" i="2"/>
  <c r="H117" i="2"/>
  <c r="H116" i="2"/>
  <c r="H115" i="2"/>
  <c r="H114" i="2"/>
  <c r="H113" i="2"/>
  <c r="H112" i="2"/>
  <c r="H111" i="2"/>
  <c r="H110" i="2"/>
  <c r="H109" i="2"/>
  <c r="H108" i="2"/>
  <c r="H107" i="2"/>
  <c r="H106" i="2"/>
  <c r="H105" i="2"/>
  <c r="H104" i="2"/>
  <c r="H103" i="2"/>
  <c r="H102" i="2"/>
  <c r="H101" i="2"/>
  <c r="H100" i="2"/>
  <c r="H99" i="2"/>
  <c r="H98" i="2"/>
  <c r="H97" i="2"/>
  <c r="H96" i="2"/>
  <c r="H95" i="2"/>
  <c r="H94" i="2"/>
  <c r="H93" i="2"/>
  <c r="H92" i="2"/>
  <c r="H91" i="2"/>
  <c r="H90" i="2"/>
  <c r="H89" i="2"/>
  <c r="H88" i="2"/>
  <c r="H87" i="2"/>
  <c r="H86" i="2"/>
  <c r="H85" i="2"/>
  <c r="H84" i="2"/>
  <c r="H83" i="2"/>
  <c r="H82" i="2"/>
  <c r="H81" i="2"/>
  <c r="H80" i="2"/>
  <c r="H79" i="2"/>
  <c r="H78" i="2"/>
  <c r="H77" i="2"/>
  <c r="H76" i="2"/>
  <c r="H75" i="2"/>
  <c r="H74" i="2"/>
  <c r="H73" i="2"/>
  <c r="H72" i="2"/>
  <c r="H71" i="2"/>
  <c r="H70" i="2"/>
  <c r="H69" i="2"/>
  <c r="H68" i="2"/>
  <c r="H67" i="2"/>
  <c r="H66" i="2"/>
  <c r="H65" i="2"/>
  <c r="H64" i="2"/>
  <c r="H63" i="2"/>
  <c r="H62" i="2"/>
  <c r="H61" i="2"/>
  <c r="H60" i="2"/>
  <c r="H59" i="2"/>
  <c r="H58" i="2"/>
  <c r="H57" i="2"/>
  <c r="H56" i="2"/>
  <c r="H55" i="2"/>
  <c r="H54" i="2"/>
  <c r="H53" i="2"/>
  <c r="H52" i="2"/>
  <c r="H51" i="2"/>
  <c r="H50" i="2"/>
  <c r="H49" i="2"/>
  <c r="H48" i="2"/>
  <c r="H47" i="2"/>
  <c r="H46" i="2"/>
  <c r="H45" i="2"/>
  <c r="H44" i="2"/>
  <c r="H43" i="2"/>
  <c r="H42" i="2"/>
  <c r="H41" i="2"/>
  <c r="H40" i="2"/>
  <c r="H39" i="2"/>
  <c r="H38" i="2"/>
  <c r="H37" i="2"/>
  <c r="H36" i="2"/>
  <c r="H35" i="2"/>
  <c r="H34" i="2"/>
  <c r="H33" i="2"/>
  <c r="H32" i="2"/>
  <c r="H31" i="2"/>
  <c r="H30" i="2"/>
  <c r="H29" i="2"/>
  <c r="H28" i="2"/>
  <c r="H27" i="2"/>
  <c r="H26" i="2"/>
  <c r="H25" i="2"/>
  <c r="H24" i="2"/>
  <c r="H23" i="2"/>
  <c r="H22" i="2"/>
  <c r="H21" i="2"/>
  <c r="H20" i="2"/>
  <c r="H19" i="2"/>
  <c r="H18" i="2"/>
  <c r="H17" i="2"/>
  <c r="H16" i="2"/>
  <c r="H15" i="2"/>
  <c r="H14" i="2"/>
  <c r="H13" i="2"/>
  <c r="H12" i="2"/>
  <c r="H11" i="2"/>
  <c r="H10" i="2"/>
  <c r="H9" i="2"/>
  <c r="H8" i="2"/>
  <c r="H7" i="2"/>
  <c r="H6" i="2"/>
  <c r="H5" i="2"/>
  <c r="H4" i="2"/>
  <c r="H3" i="2"/>
  <c r="H2" i="2"/>
  <c r="X5" i="2"/>
  <c r="X4" i="2"/>
  <c r="X3" i="2"/>
  <c r="X2" i="2"/>
  <c r="BF3" i="2"/>
  <c r="BF4" i="2"/>
  <c r="BF5" i="2"/>
  <c r="BF6" i="2"/>
  <c r="BF7" i="2"/>
  <c r="BF8" i="2"/>
  <c r="BF9" i="2"/>
  <c r="BF10" i="2"/>
  <c r="BF11" i="2"/>
  <c r="BF12" i="2"/>
  <c r="BF13" i="2"/>
  <c r="BF14" i="2"/>
  <c r="BF15" i="2"/>
  <c r="BF16" i="2"/>
  <c r="BF17" i="2"/>
  <c r="BF18" i="2"/>
  <c r="BF2" i="2"/>
  <c r="L43" i="2"/>
  <c r="L42" i="2"/>
  <c r="L41" i="2"/>
  <c r="L40" i="2"/>
  <c r="L39"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BB31" i="2"/>
  <c r="BB32" i="2"/>
  <c r="BB33" i="2"/>
  <c r="BB34" i="2"/>
  <c r="BB35" i="2"/>
  <c r="BB36" i="2"/>
  <c r="BB37" i="2"/>
  <c r="BB38" i="2"/>
  <c r="BB39" i="2"/>
  <c r="BB40" i="2"/>
  <c r="BB3" i="2"/>
  <c r="BB4" i="2"/>
  <c r="BB30" i="2"/>
  <c r="BB29" i="2"/>
  <c r="BB28" i="2"/>
  <c r="BB27" i="2"/>
  <c r="BB26" i="2"/>
  <c r="BB25" i="2"/>
  <c r="BB24" i="2"/>
  <c r="BB23" i="2"/>
  <c r="BB22" i="2"/>
  <c r="BB21" i="2"/>
  <c r="BB20" i="2"/>
  <c r="BB19" i="2"/>
  <c r="BB18" i="2"/>
  <c r="BB17" i="2"/>
  <c r="BB16" i="2"/>
  <c r="BB15" i="2"/>
  <c r="BB14" i="2"/>
  <c r="BB13" i="2"/>
  <c r="BB12" i="2"/>
  <c r="BB11" i="2"/>
  <c r="BB10" i="2"/>
  <c r="BB9" i="2"/>
  <c r="BB8" i="2"/>
  <c r="BB7" i="2"/>
  <c r="BB6" i="2"/>
  <c r="BB5" i="2"/>
  <c r="BB2" i="2"/>
  <c r="D55" i="2"/>
  <c r="D54" i="2"/>
  <c r="D53" i="2"/>
  <c r="D52" i="2"/>
  <c r="D51" i="2"/>
  <c r="D50" i="2"/>
  <c r="D49" i="2"/>
  <c r="D48" i="2"/>
  <c r="D47" i="2"/>
  <c r="D46" i="2"/>
  <c r="D45" i="2"/>
  <c r="D44" i="2"/>
  <c r="D43" i="2"/>
  <c r="D42" i="2"/>
  <c r="D41" i="2"/>
  <c r="D40" i="2"/>
  <c r="D39" i="2"/>
  <c r="D195" i="2"/>
  <c r="D196" i="2"/>
  <c r="D197" i="2"/>
  <c r="D198" i="2"/>
  <c r="D199" i="2"/>
  <c r="D200" i="2"/>
  <c r="D201" i="2"/>
  <c r="D202" i="2"/>
  <c r="D203" i="2"/>
  <c r="D210" i="2"/>
  <c r="D211" i="2"/>
  <c r="D212" i="2"/>
  <c r="D213" i="2"/>
  <c r="D215" i="2"/>
  <c r="D216" i="2"/>
  <c r="D217" i="2"/>
  <c r="D218" i="2"/>
  <c r="D219" i="2"/>
  <c r="D220" i="2"/>
  <c r="D221" i="2"/>
  <c r="D224" i="2"/>
  <c r="D225" i="2"/>
  <c r="D226" i="2"/>
  <c r="D227" i="2"/>
  <c r="D228" i="2"/>
  <c r="D229" i="2"/>
  <c r="D231" i="2"/>
  <c r="D232" i="2"/>
  <c r="D2" i="2"/>
  <c r="L2" i="2"/>
  <c r="T2" i="2"/>
  <c r="AB2" i="2"/>
  <c r="AH2" i="2"/>
  <c r="AL2" i="2"/>
  <c r="AP2" i="2"/>
  <c r="AT2" i="2"/>
  <c r="AX2" i="2"/>
  <c r="D3" i="2"/>
  <c r="T3" i="2"/>
  <c r="AB3" i="2"/>
  <c r="AH3" i="2"/>
  <c r="AL3" i="2"/>
  <c r="AP3" i="2"/>
  <c r="AT3" i="2"/>
  <c r="AX3" i="2"/>
  <c r="D4" i="2"/>
  <c r="T4" i="2"/>
  <c r="AB4" i="2"/>
  <c r="AH4" i="2"/>
  <c r="AL4" i="2"/>
  <c r="AP4" i="2"/>
  <c r="AT4" i="2"/>
  <c r="AX4" i="2"/>
  <c r="D5" i="2"/>
  <c r="T5" i="2"/>
  <c r="AB5" i="2"/>
  <c r="AH5" i="2"/>
  <c r="AL5" i="2"/>
  <c r="AP5" i="2"/>
  <c r="AT5" i="2"/>
  <c r="AX5" i="2"/>
  <c r="D6" i="2"/>
  <c r="T6" i="2"/>
  <c r="AH6" i="2"/>
  <c r="AL6" i="2"/>
  <c r="AP6" i="2"/>
  <c r="AT6" i="2"/>
  <c r="AX6" i="2"/>
  <c r="D7" i="2"/>
  <c r="T7" i="2"/>
  <c r="AH7" i="2"/>
  <c r="AL7" i="2"/>
  <c r="AP7" i="2"/>
  <c r="AT7" i="2"/>
  <c r="AX7" i="2"/>
  <c r="D8" i="2"/>
  <c r="T8" i="2"/>
  <c r="AH8" i="2"/>
  <c r="AL8" i="2"/>
  <c r="AP8" i="2"/>
  <c r="AT8" i="2"/>
  <c r="AX8" i="2"/>
  <c r="D9" i="2"/>
  <c r="T9" i="2"/>
  <c r="AH9" i="2"/>
  <c r="AL9" i="2"/>
  <c r="AP9" i="2"/>
  <c r="AT9" i="2"/>
  <c r="AX9" i="2"/>
  <c r="D10" i="2"/>
  <c r="T10" i="2"/>
  <c r="AH10" i="2"/>
  <c r="AL10" i="2"/>
  <c r="AP10" i="2"/>
  <c r="AT10" i="2"/>
  <c r="AX10" i="2"/>
  <c r="D11" i="2"/>
  <c r="T11" i="2"/>
  <c r="AH11" i="2"/>
  <c r="AL11" i="2"/>
  <c r="AP11" i="2"/>
  <c r="AT11" i="2"/>
  <c r="AX11" i="2"/>
  <c r="D12" i="2"/>
  <c r="T12" i="2"/>
  <c r="AH12" i="2"/>
  <c r="AL12" i="2"/>
  <c r="AP12" i="2"/>
  <c r="AT12" i="2"/>
  <c r="AX12" i="2"/>
  <c r="D13" i="2"/>
  <c r="T13" i="2"/>
  <c r="AH13" i="2"/>
  <c r="AL13" i="2"/>
  <c r="AP13" i="2"/>
  <c r="AT13" i="2"/>
  <c r="AX13" i="2"/>
  <c r="D14" i="2"/>
  <c r="T14" i="2"/>
  <c r="AH14" i="2"/>
  <c r="AL14" i="2"/>
  <c r="AP14" i="2"/>
  <c r="AT14" i="2"/>
  <c r="AX14" i="2"/>
  <c r="D15" i="2"/>
  <c r="T15" i="2"/>
  <c r="AH15" i="2"/>
  <c r="AL15" i="2"/>
  <c r="AT15" i="2"/>
  <c r="AX15" i="2"/>
  <c r="D16" i="2"/>
  <c r="T16" i="2"/>
  <c r="AH16" i="2"/>
  <c r="AL16" i="2"/>
  <c r="AT16" i="2"/>
  <c r="AX16" i="2"/>
  <c r="D17" i="2"/>
  <c r="T17" i="2"/>
  <c r="AH17" i="2"/>
  <c r="AL17" i="2"/>
  <c r="AT17" i="2"/>
  <c r="AX17" i="2"/>
  <c r="D18" i="2"/>
  <c r="T18" i="2"/>
  <c r="AH18" i="2"/>
  <c r="AT18" i="2"/>
  <c r="AX18" i="2"/>
  <c r="D19" i="2"/>
  <c r="T19" i="2"/>
  <c r="AH19" i="2"/>
  <c r="AT19" i="2"/>
  <c r="AX19" i="2"/>
  <c r="D20" i="2"/>
  <c r="T20" i="2"/>
  <c r="AH20" i="2"/>
  <c r="AT20" i="2"/>
  <c r="AX20" i="2"/>
  <c r="D21" i="2"/>
  <c r="T21" i="2"/>
  <c r="AH21" i="2"/>
  <c r="AT21" i="2"/>
  <c r="AX21" i="2"/>
  <c r="D22" i="2"/>
  <c r="T22" i="2"/>
  <c r="AH22" i="2"/>
  <c r="AT22" i="2"/>
  <c r="AX22" i="2"/>
  <c r="D23" i="2"/>
  <c r="T23" i="2"/>
  <c r="AH23" i="2"/>
  <c r="AT23" i="2"/>
  <c r="AX23" i="2"/>
  <c r="D24" i="2"/>
  <c r="T24" i="2"/>
  <c r="AH24" i="2"/>
  <c r="AT24" i="2"/>
  <c r="AX24" i="2"/>
  <c r="D25" i="2"/>
  <c r="T25" i="2"/>
  <c r="AH25" i="2"/>
  <c r="AT25" i="2"/>
  <c r="AX25" i="2"/>
  <c r="D26" i="2"/>
  <c r="T26" i="2"/>
  <c r="AH26" i="2"/>
  <c r="AT26" i="2"/>
  <c r="AX26" i="2"/>
  <c r="D27" i="2"/>
  <c r="T27" i="2"/>
  <c r="AH27" i="2"/>
  <c r="AT27" i="2"/>
  <c r="AX27" i="2"/>
  <c r="D28" i="2"/>
  <c r="T28" i="2"/>
  <c r="AH28" i="2"/>
  <c r="AT28" i="2"/>
  <c r="AX28" i="2"/>
  <c r="D29" i="2"/>
  <c r="T29" i="2"/>
  <c r="AH29" i="2"/>
  <c r="AT29" i="2"/>
  <c r="AX29" i="2"/>
  <c r="D30" i="2"/>
  <c r="T30" i="2"/>
  <c r="AH30" i="2"/>
  <c r="AT30" i="2"/>
  <c r="AX30" i="2"/>
  <c r="D31" i="2"/>
  <c r="T31" i="2"/>
  <c r="AH31" i="2"/>
  <c r="AX31" i="2"/>
  <c r="D32" i="2"/>
  <c r="T32" i="2"/>
  <c r="AH32" i="2"/>
  <c r="AX32" i="2"/>
  <c r="D33" i="2"/>
  <c r="T33" i="2"/>
  <c r="AH33" i="2"/>
  <c r="AX33" i="2"/>
  <c r="D34" i="2"/>
  <c r="T34" i="2"/>
  <c r="AH34" i="2"/>
  <c r="AX34" i="2"/>
  <c r="D35" i="2"/>
  <c r="T35" i="2"/>
  <c r="AH35" i="2"/>
  <c r="AX35" i="2"/>
  <c r="D36" i="2"/>
  <c r="T36" i="2"/>
  <c r="AH36" i="2"/>
  <c r="AX36" i="2"/>
  <c r="D37" i="2"/>
  <c r="T37" i="2"/>
  <c r="AH37" i="2"/>
  <c r="AX37" i="2"/>
  <c r="D38" i="2"/>
  <c r="T38" i="2"/>
  <c r="AH38" i="2"/>
  <c r="AX38" i="2"/>
  <c r="D56" i="2"/>
  <c r="AH39" i="2"/>
  <c r="AX39" i="2"/>
  <c r="D57" i="2"/>
  <c r="AH40" i="2"/>
  <c r="AX40"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204" i="2"/>
  <c r="D205" i="2"/>
  <c r="D206" i="2"/>
  <c r="D207" i="2"/>
  <c r="D208" i="2"/>
  <c r="D209" i="2"/>
  <c r="D214" i="2"/>
  <c r="D222" i="2"/>
  <c r="D223" i="2"/>
  <c r="D230"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alcChain>
</file>

<file path=xl/sharedStrings.xml><?xml version="1.0" encoding="utf-8"?>
<sst xmlns="http://schemas.openxmlformats.org/spreadsheetml/2006/main" count="2682" uniqueCount="2408">
  <si>
    <t>BE</t>
  </si>
  <si>
    <t>BI</t>
  </si>
  <si>
    <t>CH</t>
  </si>
  <si>
    <t>PACKAGE_CODE</t>
  </si>
  <si>
    <t>PACKAGE_NAME</t>
  </si>
  <si>
    <t>Drum, steel</t>
  </si>
  <si>
    <t>Drum, aluminium</t>
  </si>
  <si>
    <t>Drum, plywood</t>
  </si>
  <si>
    <t>Drum, fibre</t>
  </si>
  <si>
    <t>Drum, wooden</t>
  </si>
  <si>
    <t>Barrel, wooden</t>
  </si>
  <si>
    <t>Jerrycan, steel</t>
  </si>
  <si>
    <t>Jerrycan, plastic</t>
  </si>
  <si>
    <t>Bag, super bulk</t>
  </si>
  <si>
    <t>Box, steel</t>
  </si>
  <si>
    <t>Box, aluminium</t>
  </si>
  <si>
    <t>Box, natural wood</t>
  </si>
  <si>
    <t>Box, plywood</t>
  </si>
  <si>
    <t>Box, reconstituted wood</t>
  </si>
  <si>
    <t>Box, fibreboard</t>
  </si>
  <si>
    <t>Box, plastic</t>
  </si>
  <si>
    <t>Bag, woven plastic</t>
  </si>
  <si>
    <t>Bag, textile</t>
  </si>
  <si>
    <t>Bag, paper</t>
  </si>
  <si>
    <t>Composite packaging, plastic receptacle</t>
  </si>
  <si>
    <t>Composite packaging, glass receptacle</t>
  </si>
  <si>
    <t>Intermediate bulk container, rigid plastic</t>
  </si>
  <si>
    <t>Receptacle, fibre</t>
  </si>
  <si>
    <t>Receptacle, paper</t>
  </si>
  <si>
    <t>Receptacle, wooden</t>
  </si>
  <si>
    <t>Pallet, modular, collars 80 cm × 60 cm</t>
  </si>
  <si>
    <t>Pallet, shrink-wrapped</t>
  </si>
  <si>
    <t>Pallet, 100 cm × 110 cm</t>
  </si>
  <si>
    <t>Clamshell</t>
  </si>
  <si>
    <t>Basin</t>
  </si>
  <si>
    <t>Intermediate bulk container, woven plastic, without coat/liner</t>
  </si>
  <si>
    <t>Intermediate bulk container, woven plastic, coated</t>
  </si>
  <si>
    <t>Intermediate bulk container, woven plastic, with liner</t>
  </si>
  <si>
    <t>Intermediate bulk container, woven plastic, coated and liner</t>
  </si>
  <si>
    <t>Intermediate bulk container, plastic film</t>
  </si>
  <si>
    <t>Intermediate bulk container, textile without coat/liner</t>
  </si>
  <si>
    <t>Intermediate bulk container, natural wood, with inner liner</t>
  </si>
  <si>
    <t>Intermediate bulk container, textile, coated</t>
  </si>
  <si>
    <t>Intermediate bulk container, textile, with liner</t>
  </si>
  <si>
    <t>Intermediate bulk container, textile, coated and liner</t>
  </si>
  <si>
    <t>Intermediate bulk container, plywood, with inner liner</t>
  </si>
  <si>
    <t>Intermediate bulk container, reconstituted wood, with inner liner</t>
  </si>
  <si>
    <t>Bag, woven plastic, without inner coat/liner</t>
  </si>
  <si>
    <t>Bag, woven plastic, sift proof</t>
  </si>
  <si>
    <t>Bag, woven plastic, water resistant</t>
  </si>
  <si>
    <t>Bag, plastics film</t>
  </si>
  <si>
    <t>Bag, textile, without inner coat/liner</t>
  </si>
  <si>
    <t>Bag, textile, sift proof</t>
  </si>
  <si>
    <t>Bag, textile, water resistant</t>
  </si>
  <si>
    <t>Bag, paper, multi-wall</t>
  </si>
  <si>
    <t>Bag, paper, multi-wall, water resistant</t>
  </si>
  <si>
    <t>Composite packaging, plastic receptacle in steel drum</t>
  </si>
  <si>
    <t>Composite packaging, plastic receptacle in steel crate box</t>
  </si>
  <si>
    <t>Composite packaging, plastic receptacle in aluminium drum</t>
  </si>
  <si>
    <t>Composite packaging, plastic receptacle in aluminium crate</t>
  </si>
  <si>
    <t>Composite packaging, plastic receptacle in wooden box</t>
  </si>
  <si>
    <t>Composite packaging, plastic receptacle in plywood drum</t>
  </si>
  <si>
    <t>Composite packaging, plastic receptacle in plywood box</t>
  </si>
  <si>
    <t>Composite packaging, plastic receptacle in fibre drum</t>
  </si>
  <si>
    <t>Composite packaging, plastic receptacle in fibreboard box</t>
  </si>
  <si>
    <t>Composite packaging, plastic receptacle in plastic drum</t>
  </si>
  <si>
    <t>Composite packaging, plastic receptacle in solid plastic box</t>
  </si>
  <si>
    <t>Composite packaging, glass receptacle in steel drum</t>
  </si>
  <si>
    <t>Composite packaging, glass receptacle in steel crate box</t>
  </si>
  <si>
    <t>Composite packaging, glass receptacle in aluminium drum</t>
  </si>
  <si>
    <t>Composite packaging, glass receptacle in aluminium crate</t>
  </si>
  <si>
    <t>Composite packaging, glass receptacle in wooden box</t>
  </si>
  <si>
    <t>Composite packaging, glass receptacle in plywood drum</t>
  </si>
  <si>
    <t>Composite packaging, glass receptacle in wickerwork hamper</t>
  </si>
  <si>
    <t>Composite packaging, glass receptacle in fibre drum</t>
  </si>
  <si>
    <t>Composite packaging, glass receptacle in fibreboard box</t>
  </si>
  <si>
    <t>Composite packaging, glass receptacle in expandable plastic pack</t>
  </si>
  <si>
    <t>Composite packaging, glass receptacle in solid plastic pack</t>
  </si>
  <si>
    <t>Intermediate bulk container, paper, multi-wall</t>
  </si>
  <si>
    <t>Bag, large</t>
  </si>
  <si>
    <t>Intermediate bulk container, paper, multi-wall, water resistant</t>
  </si>
  <si>
    <t>Intermediate bulk container, rigid plastic, with structural equipment, solids</t>
  </si>
  <si>
    <t>Intermediate bulk container, rigid plastic, freestanding, solids</t>
  </si>
  <si>
    <t>Intermediate bulk container, rigid plastic, with structural equipment, pressurised</t>
  </si>
  <si>
    <t>Intermediate bulk container, rigid plastic, freestanding, pressurised</t>
  </si>
  <si>
    <t>Intermediate bulk container, rigid plastic, with structural equipment, liquids</t>
  </si>
  <si>
    <t>Intermediate bulk container, rigid plastic, freestanding, liquids</t>
  </si>
  <si>
    <t>Intermediate bulk container, composite, rigid plastic, solids</t>
  </si>
  <si>
    <t>Intermediate bulk container, composite, flexible plastic, solids</t>
  </si>
  <si>
    <t>Intermediate bulk container, composite, rigid plastic, pressurised</t>
  </si>
  <si>
    <t>Intermediate bulk container, composite, flexible plastic, pressurised</t>
  </si>
  <si>
    <t>Intermediate bulk container, composite, rigid plastic, liquids</t>
  </si>
  <si>
    <t>Intermediate bulk container, composite, flexible plastic, liquids</t>
  </si>
  <si>
    <t>Intermediate bulk container, composite</t>
  </si>
  <si>
    <t>Intermediate bulk container, fibreboard</t>
  </si>
  <si>
    <t>Intermediate bulk container, flexible</t>
  </si>
  <si>
    <t>Intermediate bulk container, metal, other than steel</t>
  </si>
  <si>
    <t>Intermediate bulk container, natural wood</t>
  </si>
  <si>
    <t>Intermediate bulk container, plywood</t>
  </si>
  <si>
    <t>Intermediate bulk container, reconstituted wood</t>
  </si>
  <si>
    <t>Mutually defined</t>
  </si>
  <si>
    <t>1A</t>
  </si>
  <si>
    <t>1B</t>
  </si>
  <si>
    <t>1D</t>
  </si>
  <si>
    <t>1G</t>
  </si>
  <si>
    <t>1W</t>
  </si>
  <si>
    <t>2C</t>
  </si>
  <si>
    <t>3A</t>
  </si>
  <si>
    <t>3H</t>
  </si>
  <si>
    <t>43</t>
  </si>
  <si>
    <t>4A</t>
  </si>
  <si>
    <t>4B</t>
  </si>
  <si>
    <t>4C</t>
  </si>
  <si>
    <t>4D</t>
  </si>
  <si>
    <t>4F</t>
  </si>
  <si>
    <t>4G</t>
  </si>
  <si>
    <t>4H</t>
  </si>
  <si>
    <t>5H</t>
  </si>
  <si>
    <t>5L</t>
  </si>
  <si>
    <t>5M</t>
  </si>
  <si>
    <t>6H</t>
  </si>
  <si>
    <t>6P</t>
  </si>
  <si>
    <t>AA</t>
  </si>
  <si>
    <t>AB</t>
  </si>
  <si>
    <t>AC</t>
  </si>
  <si>
    <t>AD</t>
  </si>
  <si>
    <t>AF</t>
  </si>
  <si>
    <t>AG</t>
  </si>
  <si>
    <t>AH</t>
  </si>
  <si>
    <t>AI</t>
  </si>
  <si>
    <t>BM</t>
  </si>
  <si>
    <t>BW</t>
  </si>
  <si>
    <t>CD</t>
  </si>
  <si>
    <t>CM</t>
  </si>
  <si>
    <t>CN</t>
  </si>
  <si>
    <t>WN</t>
  </si>
  <si>
    <t>WP</t>
  </si>
  <si>
    <t>WQ</t>
  </si>
  <si>
    <t>WR</t>
  </si>
  <si>
    <t>WS</t>
  </si>
  <si>
    <t>WT</t>
  </si>
  <si>
    <t>WU</t>
  </si>
  <si>
    <t>WV</t>
  </si>
  <si>
    <t>WW</t>
  </si>
  <si>
    <t>WX</t>
  </si>
  <si>
    <t>WY</t>
  </si>
  <si>
    <t>WZ</t>
  </si>
  <si>
    <t>XA</t>
  </si>
  <si>
    <t>XB</t>
  </si>
  <si>
    <t>XC</t>
  </si>
  <si>
    <t>XD</t>
  </si>
  <si>
    <t>XF</t>
  </si>
  <si>
    <t>XG</t>
  </si>
  <si>
    <t>XH</t>
  </si>
  <si>
    <t>XJ</t>
  </si>
  <si>
    <t>XK</t>
  </si>
  <si>
    <t>YA</t>
  </si>
  <si>
    <t>YB</t>
  </si>
  <si>
    <t>YC</t>
  </si>
  <si>
    <t>YD</t>
  </si>
  <si>
    <t>YF</t>
  </si>
  <si>
    <t>YG</t>
  </si>
  <si>
    <t>YH</t>
  </si>
  <si>
    <t>YJ</t>
  </si>
  <si>
    <t>YK</t>
  </si>
  <si>
    <t>YL</t>
  </si>
  <si>
    <t>YM</t>
  </si>
  <si>
    <t>YN</t>
  </si>
  <si>
    <t>YP</t>
  </si>
  <si>
    <t>YQ</t>
  </si>
  <si>
    <t>YR</t>
  </si>
  <si>
    <t>YS</t>
  </si>
  <si>
    <t>YT</t>
  </si>
  <si>
    <t>YV</t>
  </si>
  <si>
    <t>YW</t>
  </si>
  <si>
    <t>YX</t>
  </si>
  <si>
    <t>YY</t>
  </si>
  <si>
    <t>YZ</t>
  </si>
  <si>
    <t>ZA</t>
  </si>
  <si>
    <t>ZB</t>
  </si>
  <si>
    <t>ZC</t>
  </si>
  <si>
    <t>ZD</t>
  </si>
  <si>
    <t>ZF</t>
  </si>
  <si>
    <t>ZG</t>
  </si>
  <si>
    <t>ZH</t>
  </si>
  <si>
    <t>ZJ</t>
  </si>
  <si>
    <t>ZK</t>
  </si>
  <si>
    <t>ZL</t>
  </si>
  <si>
    <t>ZM</t>
  </si>
  <si>
    <t>ZN</t>
  </si>
  <si>
    <t>ZP</t>
  </si>
  <si>
    <t>ZQ</t>
  </si>
  <si>
    <t>ZR</t>
  </si>
  <si>
    <t>ZS</t>
  </si>
  <si>
    <t>ZT</t>
  </si>
  <si>
    <t>ZU</t>
  </si>
  <si>
    <t>ZV</t>
  </si>
  <si>
    <t>ZW</t>
  </si>
  <si>
    <t>ZX</t>
  </si>
  <si>
    <t>ZY</t>
  </si>
  <si>
    <t>ZZ</t>
  </si>
  <si>
    <t>CURRENCY_CODE</t>
  </si>
  <si>
    <t>CURRENCY_NAME</t>
  </si>
  <si>
    <t>DOCUMENT_TYPE_CODE</t>
  </si>
  <si>
    <t>DOCUMENT_TYPE_NAME</t>
  </si>
  <si>
    <t>COUNTRY_CODE</t>
  </si>
  <si>
    <t>COUNTRY_NAME</t>
  </si>
  <si>
    <t>BGN</t>
  </si>
  <si>
    <t>BYR</t>
  </si>
  <si>
    <t>CHF</t>
  </si>
  <si>
    <t>CZK</t>
  </si>
  <si>
    <t>DKK</t>
  </si>
  <si>
    <t>GBP</t>
  </si>
  <si>
    <t>HUF</t>
  </si>
  <si>
    <t>MKD</t>
  </si>
  <si>
    <t>PLN</t>
  </si>
  <si>
    <t>RON</t>
  </si>
  <si>
    <t>RSD</t>
  </si>
  <si>
    <t>RUB</t>
  </si>
  <si>
    <t>TRY</t>
  </si>
  <si>
    <t>AE</t>
  </si>
  <si>
    <t>AL</t>
  </si>
  <si>
    <t>AM</t>
  </si>
  <si>
    <t>AN</t>
  </si>
  <si>
    <t>AO</t>
  </si>
  <si>
    <t>AQ</t>
  </si>
  <si>
    <t>AR</t>
  </si>
  <si>
    <t>AS</t>
  </si>
  <si>
    <t>AT</t>
  </si>
  <si>
    <t>AU</t>
  </si>
  <si>
    <t>AW</t>
  </si>
  <si>
    <t>AX</t>
  </si>
  <si>
    <t>AZ</t>
  </si>
  <si>
    <t>BA</t>
  </si>
  <si>
    <t>BB</t>
  </si>
  <si>
    <t>BD</t>
  </si>
  <si>
    <t>BF</t>
  </si>
  <si>
    <t>BG</t>
  </si>
  <si>
    <t>BH</t>
  </si>
  <si>
    <t>BJ</t>
  </si>
  <si>
    <t>BL</t>
  </si>
  <si>
    <t>BN</t>
  </si>
  <si>
    <t>BO</t>
  </si>
  <si>
    <t>BR</t>
  </si>
  <si>
    <t>BS</t>
  </si>
  <si>
    <t>BT</t>
  </si>
  <si>
    <t>BV</t>
  </si>
  <si>
    <t>BY</t>
  </si>
  <si>
    <t>BZ</t>
  </si>
  <si>
    <t>CA</t>
  </si>
  <si>
    <t>CC</t>
  </si>
  <si>
    <t>CF</t>
  </si>
  <si>
    <t>CG</t>
  </si>
  <si>
    <t>CI</t>
  </si>
  <si>
    <t>CK</t>
  </si>
  <si>
    <t>CL</t>
  </si>
  <si>
    <t>CO</t>
  </si>
  <si>
    <t>IM</t>
  </si>
  <si>
    <t>Proforma Invoice</t>
  </si>
  <si>
    <t>PREVIOUS_DOCUMENT_TYPE_CODE</t>
  </si>
  <si>
    <t>PREVIOUS_DOCUMENT_TYPE_NAME</t>
  </si>
  <si>
    <t>T1</t>
  </si>
  <si>
    <t>EX</t>
  </si>
  <si>
    <t>Other</t>
  </si>
  <si>
    <t>ADDITIONAL_INFO_IDENT_CODE</t>
  </si>
  <si>
    <t>ADDITIONAL_INFO_IDENT_NAME</t>
  </si>
  <si>
    <t>DISCHARGING_DECLARATION_CODE</t>
  </si>
  <si>
    <t>DISCHARGING_DECLARATION_NAME</t>
  </si>
  <si>
    <t>02</t>
  </si>
  <si>
    <t>03</t>
  </si>
  <si>
    <t>Entrepot Declaration Discharging</t>
  </si>
  <si>
    <t>Part of the Summary Declaration</t>
  </si>
  <si>
    <t>Part of the Transport Document</t>
  </si>
  <si>
    <t>Export Declaration</t>
  </si>
  <si>
    <t>Andorra</t>
  </si>
  <si>
    <t>United Arab Emirates</t>
  </si>
  <si>
    <t>Afghanistan</t>
  </si>
  <si>
    <t>Antigua and Barbuda</t>
  </si>
  <si>
    <t>Anguilla</t>
  </si>
  <si>
    <t>Albania</t>
  </si>
  <si>
    <t>Armenia</t>
  </si>
  <si>
    <t>Netherlands Antilles</t>
  </si>
  <si>
    <t>Angola</t>
  </si>
  <si>
    <t>Antarctica</t>
  </si>
  <si>
    <t>Argentina</t>
  </si>
  <si>
    <t>American Samoa</t>
  </si>
  <si>
    <t>Austrian</t>
  </si>
  <si>
    <t>Australia</t>
  </si>
  <si>
    <t>Aruba</t>
  </si>
  <si>
    <t>Åland Islands</t>
  </si>
  <si>
    <t>Azerbaijan</t>
  </si>
  <si>
    <t>Bosnia and Herzegovina</t>
  </si>
  <si>
    <t>Barbados</t>
  </si>
  <si>
    <t>Bangladesh</t>
  </si>
  <si>
    <t>Belgian</t>
  </si>
  <si>
    <t>Burkina Faso</t>
  </si>
  <si>
    <t>Bulgarian</t>
  </si>
  <si>
    <t>Bahrain</t>
  </si>
  <si>
    <t>Burundi</t>
  </si>
  <si>
    <t>Benin</t>
  </si>
  <si>
    <t>Saint Barthélemy</t>
  </si>
  <si>
    <t>Bermuda</t>
  </si>
  <si>
    <t>Brunei Darussalam</t>
  </si>
  <si>
    <t>Bolivia</t>
  </si>
  <si>
    <t>Brazil</t>
  </si>
  <si>
    <t>Bahamas</t>
  </si>
  <si>
    <t>Bhutan</t>
  </si>
  <si>
    <t>Bouvet Island</t>
  </si>
  <si>
    <t>Botswana</t>
  </si>
  <si>
    <t>Belarusian</t>
  </si>
  <si>
    <t>Belize</t>
  </si>
  <si>
    <t>USD</t>
  </si>
  <si>
    <t>HRK</t>
  </si>
  <si>
    <t>LTL</t>
  </si>
  <si>
    <t>AED</t>
  </si>
  <si>
    <t>ANG</t>
  </si>
  <si>
    <t>AUD</t>
  </si>
  <si>
    <t>AWG</t>
  </si>
  <si>
    <t>BDT</t>
  </si>
  <si>
    <t>BHD</t>
  </si>
  <si>
    <t>BIF</t>
  </si>
  <si>
    <t>BMD</t>
  </si>
  <si>
    <t>BND</t>
  </si>
  <si>
    <t>BSD</t>
  </si>
  <si>
    <t>BWP</t>
  </si>
  <si>
    <t>CAD</t>
  </si>
  <si>
    <t>CNY</t>
  </si>
  <si>
    <t>DJF</t>
  </si>
  <si>
    <t>DZD</t>
  </si>
  <si>
    <t>EGP</t>
  </si>
  <si>
    <t>GIP</t>
  </si>
  <si>
    <t>HKD</t>
  </si>
  <si>
    <t>INR</t>
  </si>
  <si>
    <t>BK</t>
  </si>
  <si>
    <t>Bale, non-compressed</t>
  </si>
  <si>
    <t>Bale, compressed</t>
  </si>
  <si>
    <t>Basket</t>
  </si>
  <si>
    <t>Aerosol</t>
  </si>
  <si>
    <t>Proforma invoice</t>
  </si>
  <si>
    <t>Container list</t>
  </si>
  <si>
    <t>Packing list</t>
  </si>
  <si>
    <t>Entry summary declaration</t>
  </si>
  <si>
    <t>Commercial invoice</t>
  </si>
  <si>
    <t>House waybill</t>
  </si>
  <si>
    <t>Master bill of lading</t>
  </si>
  <si>
    <t>Bill of lading</t>
  </si>
  <si>
    <t>Road list SMGS</t>
  </si>
  <si>
    <t>Road consignment note</t>
  </si>
  <si>
    <t>Master air waybill</t>
  </si>
  <si>
    <t>Multimodal/combined transport document</t>
  </si>
  <si>
    <t>Cargo manifest</t>
  </si>
  <si>
    <t>TIR carnet</t>
  </si>
  <si>
    <t>ATA carnet</t>
  </si>
  <si>
    <t>Information sheet INF3</t>
  </si>
  <si>
    <t>2</t>
  </si>
  <si>
    <t>3</t>
  </si>
  <si>
    <t>Commercial Invoice</t>
  </si>
  <si>
    <t>CMR</t>
  </si>
  <si>
    <t>Yes</t>
  </si>
  <si>
    <t>No</t>
  </si>
  <si>
    <t>Export_From_EU</t>
  </si>
  <si>
    <t>02015</t>
  </si>
  <si>
    <t>04021</t>
  </si>
  <si>
    <t>04025</t>
  </si>
  <si>
    <t>01206</t>
  </si>
  <si>
    <t>02024</t>
  </si>
  <si>
    <t>09015</t>
  </si>
  <si>
    <t>01207</t>
  </si>
  <si>
    <t>01201</t>
  </si>
  <si>
    <t>09024</t>
  </si>
  <si>
    <t>01011</t>
  </si>
  <si>
    <t>01017</t>
  </si>
  <si>
    <t>01061</t>
  </si>
  <si>
    <t>01072</t>
  </si>
  <si>
    <t>01081</t>
  </si>
  <si>
    <t>01133</t>
  </si>
  <si>
    <t>01321</t>
  </si>
  <si>
    <t>01332</t>
  </si>
  <si>
    <t>01341</t>
  </si>
  <si>
    <t>01999</t>
  </si>
  <si>
    <t>02011</t>
  </si>
  <si>
    <t>02012</t>
  </si>
  <si>
    <t>02013</t>
  </si>
  <si>
    <t>02014</t>
  </si>
  <si>
    <t>02016</t>
  </si>
  <si>
    <t>02017</t>
  </si>
  <si>
    <t>02018</t>
  </si>
  <si>
    <t>02025</t>
  </si>
  <si>
    <t>02099</t>
  </si>
  <si>
    <t>03011</t>
  </si>
  <si>
    <t>03012</t>
  </si>
  <si>
    <t>04031</t>
  </si>
  <si>
    <t>04081</t>
  </si>
  <si>
    <t>04131</t>
  </si>
  <si>
    <t>04999</t>
  </si>
  <si>
    <t>06011</t>
  </si>
  <si>
    <t>06013</t>
  </si>
  <si>
    <t>06014</t>
  </si>
  <si>
    <t>10999</t>
  </si>
  <si>
    <t>11001</t>
  </si>
  <si>
    <t>Invoice</t>
  </si>
  <si>
    <t>Certificater of state registration SGR</t>
  </si>
  <si>
    <t>Phytosanitary certificate</t>
  </si>
  <si>
    <t>Veterinary certificate</t>
  </si>
  <si>
    <t xml:space="preserve">Certificate of approval of a vehicle - international carriage of goods </t>
  </si>
  <si>
    <t>Export/import licence</t>
  </si>
  <si>
    <t>Permit to export / import licencing goods</t>
  </si>
  <si>
    <t>Permit to import of plant protection products (pesticides)</t>
  </si>
  <si>
    <t>Permit to  the transit of toxic substances</t>
  </si>
  <si>
    <t>Permit to import pharmaceutical products</t>
  </si>
  <si>
    <t>Permit to re-export goods</t>
  </si>
  <si>
    <t xml:space="preserve">Permit to import and / or export of hazardous waste </t>
  </si>
  <si>
    <t>Permit to export a specific consignment of narcotic drugs</t>
  </si>
  <si>
    <t>Permit to import / export of ozone-depleting substances and</t>
  </si>
  <si>
    <t>Other permits</t>
  </si>
  <si>
    <t>Transport document - river mode  / waybill</t>
  </si>
  <si>
    <t>SMGS</t>
  </si>
  <si>
    <t>Other documents, rail mode</t>
  </si>
  <si>
    <t>Other transport document, road mode</t>
  </si>
  <si>
    <t>Air waybill</t>
  </si>
  <si>
    <t>Transport documents, pipeline transport</t>
  </si>
  <si>
    <t>Other transport documents</t>
  </si>
  <si>
    <t>Contract</t>
  </si>
  <si>
    <t>Addendum to the contract, code 03011</t>
  </si>
  <si>
    <t>Invoice for transport, loading, unloading, reloading</t>
  </si>
  <si>
    <t>Invoice cost of packing materials</t>
  </si>
  <si>
    <t>Other documents and information</t>
  </si>
  <si>
    <t>Certificate of origin CT+1</t>
  </si>
  <si>
    <t>Certificate of origin A form</t>
  </si>
  <si>
    <t>Non preferential certificate of origin</t>
  </si>
  <si>
    <t>Other information</t>
  </si>
  <si>
    <t>Identity document</t>
  </si>
  <si>
    <t>DOCUMENT_TYPE_CODE_BY</t>
  </si>
  <si>
    <t>IQD</t>
  </si>
  <si>
    <t>IRR</t>
  </si>
  <si>
    <t>JOD</t>
  </si>
  <si>
    <t>JPY</t>
  </si>
  <si>
    <t>KES</t>
  </si>
  <si>
    <t>KMF</t>
  </si>
  <si>
    <t>KPW</t>
  </si>
  <si>
    <t>KRW</t>
  </si>
  <si>
    <t>KWD</t>
  </si>
  <si>
    <t>LBP</t>
  </si>
  <si>
    <t>LKR</t>
  </si>
  <si>
    <t>LRD</t>
  </si>
  <si>
    <t>LSL</t>
  </si>
  <si>
    <t>LYD</t>
  </si>
  <si>
    <t>MDL</t>
  </si>
  <si>
    <t>MMK</t>
  </si>
  <si>
    <t>MOP</t>
  </si>
  <si>
    <t>MRO</t>
  </si>
  <si>
    <t>MUR</t>
  </si>
  <si>
    <t>MYR</t>
  </si>
  <si>
    <t>NAD</t>
  </si>
  <si>
    <t>NOK</t>
  </si>
  <si>
    <t>NZD</t>
  </si>
  <si>
    <t>OMR</t>
  </si>
  <si>
    <t>PGK</t>
  </si>
  <si>
    <t>PKR</t>
  </si>
  <si>
    <t>QAR</t>
  </si>
  <si>
    <t>SAR</t>
  </si>
  <si>
    <t>SBD</t>
  </si>
  <si>
    <t>SCR</t>
  </si>
  <si>
    <t>SEK</t>
  </si>
  <si>
    <t>SGD</t>
  </si>
  <si>
    <t>SOS</t>
  </si>
  <si>
    <t>SYP</t>
  </si>
  <si>
    <t>SZL</t>
  </si>
  <si>
    <t>THB</t>
  </si>
  <si>
    <t>TND</t>
  </si>
  <si>
    <t>TOP</t>
  </si>
  <si>
    <t>TWD</t>
  </si>
  <si>
    <t>TZS</t>
  </si>
  <si>
    <t>UAH</t>
  </si>
  <si>
    <t>UZS</t>
  </si>
  <si>
    <t>VUV</t>
  </si>
  <si>
    <t>WST</t>
  </si>
  <si>
    <t>XAF</t>
  </si>
  <si>
    <t>XOF</t>
  </si>
  <si>
    <t>XPF</t>
  </si>
  <si>
    <t>YER</t>
  </si>
  <si>
    <t>ZAR</t>
  </si>
  <si>
    <t>CR</t>
  </si>
  <si>
    <t>CU</t>
  </si>
  <si>
    <t>CV</t>
  </si>
  <si>
    <t>CX</t>
  </si>
  <si>
    <t>CY</t>
  </si>
  <si>
    <t>CZ</t>
  </si>
  <si>
    <t>Czech</t>
  </si>
  <si>
    <t>DE</t>
  </si>
  <si>
    <t>German</t>
  </si>
  <si>
    <t>DJ</t>
  </si>
  <si>
    <t>Djibouti</t>
  </si>
  <si>
    <t>DK</t>
  </si>
  <si>
    <t>Danish</t>
  </si>
  <si>
    <t>DM</t>
  </si>
  <si>
    <t>Dominica</t>
  </si>
  <si>
    <t>DO</t>
  </si>
  <si>
    <t>Dominican Republic</t>
  </si>
  <si>
    <t>DZ</t>
  </si>
  <si>
    <t>Algeria</t>
  </si>
  <si>
    <t>EC</t>
  </si>
  <si>
    <t>Ecuador</t>
  </si>
  <si>
    <t>EE</t>
  </si>
  <si>
    <t>Estonian</t>
  </si>
  <si>
    <t>EG</t>
  </si>
  <si>
    <t>Egypt</t>
  </si>
  <si>
    <t>EH</t>
  </si>
  <si>
    <t>Western Sahara</t>
  </si>
  <si>
    <t>ER</t>
  </si>
  <si>
    <t>Eritrea</t>
  </si>
  <si>
    <t>ES</t>
  </si>
  <si>
    <t>Spanish</t>
  </si>
  <si>
    <t>ET</t>
  </si>
  <si>
    <t>Ethiopia</t>
  </si>
  <si>
    <t>FI</t>
  </si>
  <si>
    <t>Finnish</t>
  </si>
  <si>
    <t>FJ</t>
  </si>
  <si>
    <t>Fiji</t>
  </si>
  <si>
    <t>FK</t>
  </si>
  <si>
    <t>Falkland Islands (Malvinas)</t>
  </si>
  <si>
    <t>FM</t>
  </si>
  <si>
    <t>Micronesia</t>
  </si>
  <si>
    <t>FO</t>
  </si>
  <si>
    <t>Faroe Is</t>
  </si>
  <si>
    <t>FR</t>
  </si>
  <si>
    <t>French</t>
  </si>
  <si>
    <t>GA</t>
  </si>
  <si>
    <t>Gabon</t>
  </si>
  <si>
    <t>GB</t>
  </si>
  <si>
    <t>British</t>
  </si>
  <si>
    <t>GD</t>
  </si>
  <si>
    <t>Grenada</t>
  </si>
  <si>
    <t>GE</t>
  </si>
  <si>
    <t>Georgia</t>
  </si>
  <si>
    <t>GF</t>
  </si>
  <si>
    <t>French Guiana</t>
  </si>
  <si>
    <t>GG</t>
  </si>
  <si>
    <t>Guernsey</t>
  </si>
  <si>
    <t>GH</t>
  </si>
  <si>
    <t>Ghana</t>
  </si>
  <si>
    <t>GI</t>
  </si>
  <si>
    <t>Gibraltar</t>
  </si>
  <si>
    <t>GL</t>
  </si>
  <si>
    <t>Greenland</t>
  </si>
  <si>
    <t>GM</t>
  </si>
  <si>
    <t>Gambia</t>
  </si>
  <si>
    <t>GN</t>
  </si>
  <si>
    <t>Guinea</t>
  </si>
  <si>
    <t>GP</t>
  </si>
  <si>
    <t>Guadeloupe</t>
  </si>
  <si>
    <t>GQ</t>
  </si>
  <si>
    <t>Equatorial Guinea</t>
  </si>
  <si>
    <t>GR</t>
  </si>
  <si>
    <t>Greek</t>
  </si>
  <si>
    <t>GS</t>
  </si>
  <si>
    <t>S Georgia S Sandwich Is</t>
  </si>
  <si>
    <t>GT</t>
  </si>
  <si>
    <t>Guatemala</t>
  </si>
  <si>
    <t>GU</t>
  </si>
  <si>
    <t>Guam</t>
  </si>
  <si>
    <t>GW</t>
  </si>
  <si>
    <t>Guinea-Bissau</t>
  </si>
  <si>
    <t>GY</t>
  </si>
  <si>
    <t>Guyana</t>
  </si>
  <si>
    <t>HK</t>
  </si>
  <si>
    <t>Hong Kong</t>
  </si>
  <si>
    <t>HM</t>
  </si>
  <si>
    <t>Heard Island and McDonald Islands</t>
  </si>
  <si>
    <t>HN</t>
  </si>
  <si>
    <t>Honduras</t>
  </si>
  <si>
    <t>HR</t>
  </si>
  <si>
    <t>Croatia</t>
  </si>
  <si>
    <t>HT</t>
  </si>
  <si>
    <t>Haiti</t>
  </si>
  <si>
    <t>HU</t>
  </si>
  <si>
    <t>Hungarian</t>
  </si>
  <si>
    <t>ID</t>
  </si>
  <si>
    <t>Indonesia</t>
  </si>
  <si>
    <t>IE</t>
  </si>
  <si>
    <t>Irish</t>
  </si>
  <si>
    <t>IL</t>
  </si>
  <si>
    <t>Israel</t>
  </si>
  <si>
    <t>Isle of Man</t>
  </si>
  <si>
    <t>IN</t>
  </si>
  <si>
    <t>India</t>
  </si>
  <si>
    <t>IO</t>
  </si>
  <si>
    <t>British Indian Oc Terr</t>
  </si>
  <si>
    <t>IQ</t>
  </si>
  <si>
    <t>Iraq</t>
  </si>
  <si>
    <t>IR</t>
  </si>
  <si>
    <t>Iran</t>
  </si>
  <si>
    <t>IS</t>
  </si>
  <si>
    <t>Icelandic</t>
  </si>
  <si>
    <t>IT</t>
  </si>
  <si>
    <t>Italian</t>
  </si>
  <si>
    <t>JE</t>
  </si>
  <si>
    <t>Jersey</t>
  </si>
  <si>
    <t>JM</t>
  </si>
  <si>
    <t>Jamaica</t>
  </si>
  <si>
    <t>JO</t>
  </si>
  <si>
    <t>Jordan</t>
  </si>
  <si>
    <t>JP</t>
  </si>
  <si>
    <t>Japan</t>
  </si>
  <si>
    <t>KE</t>
  </si>
  <si>
    <t>Kenya</t>
  </si>
  <si>
    <t>KG</t>
  </si>
  <si>
    <t>Kyrgyzstan</t>
  </si>
  <si>
    <t>KH</t>
  </si>
  <si>
    <t>Cambodia</t>
  </si>
  <si>
    <t>KI</t>
  </si>
  <si>
    <t>Kiribati</t>
  </si>
  <si>
    <t>KM</t>
  </si>
  <si>
    <t>Comoros</t>
  </si>
  <si>
    <t>KN</t>
  </si>
  <si>
    <t>Saint Kitts and Nevis</t>
  </si>
  <si>
    <t>KP</t>
  </si>
  <si>
    <t>North Korea</t>
  </si>
  <si>
    <t>KR</t>
  </si>
  <si>
    <t>Korea, Republic of</t>
  </si>
  <si>
    <t>KW</t>
  </si>
  <si>
    <t>Kuwait</t>
  </si>
  <si>
    <t>KY</t>
  </si>
  <si>
    <t>Cayman Is</t>
  </si>
  <si>
    <t>KZ</t>
  </si>
  <si>
    <t>Kazakhstan</t>
  </si>
  <si>
    <t>LA</t>
  </si>
  <si>
    <t>Lao</t>
  </si>
  <si>
    <t>LB</t>
  </si>
  <si>
    <t>Lebanon</t>
  </si>
  <si>
    <t>LC</t>
  </si>
  <si>
    <t>Saint Lucia</t>
  </si>
  <si>
    <t>LI</t>
  </si>
  <si>
    <t>Liechtenstein</t>
  </si>
  <si>
    <t>LK</t>
  </si>
  <si>
    <t>Sri Lanka</t>
  </si>
  <si>
    <t>LR</t>
  </si>
  <si>
    <t>Liberia</t>
  </si>
  <si>
    <t>LS</t>
  </si>
  <si>
    <t>Lesotho</t>
  </si>
  <si>
    <t>LT</t>
  </si>
  <si>
    <t>Lithuanian</t>
  </si>
  <si>
    <t>LU</t>
  </si>
  <si>
    <t>Luxembourg</t>
  </si>
  <si>
    <t>LV</t>
  </si>
  <si>
    <t>Latvian</t>
  </si>
  <si>
    <t>LY</t>
  </si>
  <si>
    <t>Libyan Arab Jamahiriya</t>
  </si>
  <si>
    <t>MA</t>
  </si>
  <si>
    <t>Morocco</t>
  </si>
  <si>
    <t>MC</t>
  </si>
  <si>
    <t>Monaco</t>
  </si>
  <si>
    <t>MD</t>
  </si>
  <si>
    <t>Moldova, Republic of</t>
  </si>
  <si>
    <t>ME</t>
  </si>
  <si>
    <t>Montenegro</t>
  </si>
  <si>
    <t>MF</t>
  </si>
  <si>
    <t>Saint Martin (French part)</t>
  </si>
  <si>
    <t>MG</t>
  </si>
  <si>
    <t>Madagascar</t>
  </si>
  <si>
    <t>MH</t>
  </si>
  <si>
    <t>Marshall Is</t>
  </si>
  <si>
    <t>MK</t>
  </si>
  <si>
    <t>Macedonia</t>
  </si>
  <si>
    <t>ML</t>
  </si>
  <si>
    <t>Mali</t>
  </si>
  <si>
    <t>MM</t>
  </si>
  <si>
    <t>Myanmar</t>
  </si>
  <si>
    <t>MN</t>
  </si>
  <si>
    <t>Mongolia</t>
  </si>
  <si>
    <t>MO</t>
  </si>
  <si>
    <t>Macao</t>
  </si>
  <si>
    <t>MP</t>
  </si>
  <si>
    <t>N Mariana Is</t>
  </si>
  <si>
    <t>MQ</t>
  </si>
  <si>
    <t>Martinique</t>
  </si>
  <si>
    <t>MR</t>
  </si>
  <si>
    <t>Mauritania</t>
  </si>
  <si>
    <t>MS</t>
  </si>
  <si>
    <t>Montserrat</t>
  </si>
  <si>
    <t>MT</t>
  </si>
  <si>
    <t>Maltese</t>
  </si>
  <si>
    <t>MU</t>
  </si>
  <si>
    <t>Mauritius</t>
  </si>
  <si>
    <t>MV</t>
  </si>
  <si>
    <t>Maldives</t>
  </si>
  <si>
    <t>MW</t>
  </si>
  <si>
    <t>Malawi</t>
  </si>
  <si>
    <t>MX</t>
  </si>
  <si>
    <t>Mexico</t>
  </si>
  <si>
    <t>MY</t>
  </si>
  <si>
    <t>Malaysia</t>
  </si>
  <si>
    <t>MZ</t>
  </si>
  <si>
    <t>Mozambique</t>
  </si>
  <si>
    <t>NA</t>
  </si>
  <si>
    <t>Namibia</t>
  </si>
  <si>
    <t>NC</t>
  </si>
  <si>
    <t>New Caledonia</t>
  </si>
  <si>
    <t>NE</t>
  </si>
  <si>
    <t>Niger</t>
  </si>
  <si>
    <t>NF</t>
  </si>
  <si>
    <t>Norfolk Island</t>
  </si>
  <si>
    <t>NG</t>
  </si>
  <si>
    <t>Nigeria</t>
  </si>
  <si>
    <t>NI</t>
  </si>
  <si>
    <t>Nicaragua</t>
  </si>
  <si>
    <t>NL</t>
  </si>
  <si>
    <t>Dutch</t>
  </si>
  <si>
    <t>NO</t>
  </si>
  <si>
    <t>Norwegian</t>
  </si>
  <si>
    <t>NP</t>
  </si>
  <si>
    <t>Nepal</t>
  </si>
  <si>
    <t>NR</t>
  </si>
  <si>
    <t>Nauru</t>
  </si>
  <si>
    <t>NU</t>
  </si>
  <si>
    <t>Niue</t>
  </si>
  <si>
    <t>NZ</t>
  </si>
  <si>
    <t>New Zealand</t>
  </si>
  <si>
    <t>OM</t>
  </si>
  <si>
    <t>Oman</t>
  </si>
  <si>
    <t>PA</t>
  </si>
  <si>
    <t>Panama</t>
  </si>
  <si>
    <t>PE</t>
  </si>
  <si>
    <t>Peru</t>
  </si>
  <si>
    <t>PF</t>
  </si>
  <si>
    <t>French Polynesia</t>
  </si>
  <si>
    <t>PG</t>
  </si>
  <si>
    <t>Papua New Guinea</t>
  </si>
  <si>
    <t>PH</t>
  </si>
  <si>
    <t>Philippines</t>
  </si>
  <si>
    <t>PK</t>
  </si>
  <si>
    <t>Pakistan</t>
  </si>
  <si>
    <t>PL</t>
  </si>
  <si>
    <t>Polish</t>
  </si>
  <si>
    <t>PM</t>
  </si>
  <si>
    <t>St Pierre/Miquelon</t>
  </si>
  <si>
    <t>PN</t>
  </si>
  <si>
    <t>Pitcairn</t>
  </si>
  <si>
    <t>PR</t>
  </si>
  <si>
    <t>Puerto Rico</t>
  </si>
  <si>
    <t>PS</t>
  </si>
  <si>
    <t>Palestinian Territory</t>
  </si>
  <si>
    <t>PT</t>
  </si>
  <si>
    <t>Portuguese</t>
  </si>
  <si>
    <t>PW</t>
  </si>
  <si>
    <t>Palau</t>
  </si>
  <si>
    <t>PY</t>
  </si>
  <si>
    <t>Paraguay</t>
  </si>
  <si>
    <t>QA</t>
  </si>
  <si>
    <t>Qatar</t>
  </si>
  <si>
    <t>RE</t>
  </si>
  <si>
    <t>Réunion</t>
  </si>
  <si>
    <t>RO</t>
  </si>
  <si>
    <t>Romanian</t>
  </si>
  <si>
    <t>RS</t>
  </si>
  <si>
    <t>Serbia</t>
  </si>
  <si>
    <t>RU</t>
  </si>
  <si>
    <t>Russian</t>
  </si>
  <si>
    <t>RW</t>
  </si>
  <si>
    <t>Rwanda</t>
  </si>
  <si>
    <t>SA</t>
  </si>
  <si>
    <t>Saudi Arabia</t>
  </si>
  <si>
    <t>SB</t>
  </si>
  <si>
    <t>Solomon Is</t>
  </si>
  <si>
    <t>SC</t>
  </si>
  <si>
    <t>Seychelles</t>
  </si>
  <si>
    <t>SD</t>
  </si>
  <si>
    <t>Sudan</t>
  </si>
  <si>
    <t>SE</t>
  </si>
  <si>
    <t>Swedish</t>
  </si>
  <si>
    <t>SG</t>
  </si>
  <si>
    <t>Singapore</t>
  </si>
  <si>
    <t>SH</t>
  </si>
  <si>
    <t>Saint Helena</t>
  </si>
  <si>
    <t>SI</t>
  </si>
  <si>
    <t>Slovenian</t>
  </si>
  <si>
    <t>SJ</t>
  </si>
  <si>
    <t>Svalbard and Jan Mayen</t>
  </si>
  <si>
    <t>SK</t>
  </si>
  <si>
    <t>Slovak</t>
  </si>
  <si>
    <t>SL</t>
  </si>
  <si>
    <t>Sierra Leone</t>
  </si>
  <si>
    <t>SM</t>
  </si>
  <si>
    <t>San Marino</t>
  </si>
  <si>
    <t>SN</t>
  </si>
  <si>
    <t>Senegal</t>
  </si>
  <si>
    <t>SO</t>
  </si>
  <si>
    <t>Somalia</t>
  </si>
  <si>
    <t>SR</t>
  </si>
  <si>
    <t>Suriname</t>
  </si>
  <si>
    <t>ST</t>
  </si>
  <si>
    <t>Sao Tome and Principe</t>
  </si>
  <si>
    <t>SV</t>
  </si>
  <si>
    <t>El Salvador</t>
  </si>
  <si>
    <t>SY</t>
  </si>
  <si>
    <t>Syrian Arab Republic</t>
  </si>
  <si>
    <t>SZ</t>
  </si>
  <si>
    <t>Swaziland</t>
  </si>
  <si>
    <t>TC</t>
  </si>
  <si>
    <t>Turks and Caicos Is</t>
  </si>
  <si>
    <t>TD</t>
  </si>
  <si>
    <t>Chad</t>
  </si>
  <si>
    <t>TF</t>
  </si>
  <si>
    <t>French S Terr</t>
  </si>
  <si>
    <t>TG</t>
  </si>
  <si>
    <t>Togo</t>
  </si>
  <si>
    <t>TH</t>
  </si>
  <si>
    <t>Thailand</t>
  </si>
  <si>
    <t>TJ</t>
  </si>
  <si>
    <t>Tajikistan</t>
  </si>
  <si>
    <t>TK</t>
  </si>
  <si>
    <t>Tokelau</t>
  </si>
  <si>
    <t>TL</t>
  </si>
  <si>
    <t>Timor-Leste</t>
  </si>
  <si>
    <t>TM</t>
  </si>
  <si>
    <t>Turkmenistan</t>
  </si>
  <si>
    <t>TN</t>
  </si>
  <si>
    <t>Tunisia</t>
  </si>
  <si>
    <t>TO</t>
  </si>
  <si>
    <t>Tonga</t>
  </si>
  <si>
    <t>TR</t>
  </si>
  <si>
    <t>Turkish</t>
  </si>
  <si>
    <t>TT</t>
  </si>
  <si>
    <t>Trinidad and Tobago</t>
  </si>
  <si>
    <t>TV</t>
  </si>
  <si>
    <t>Tuvalu</t>
  </si>
  <si>
    <t>TW</t>
  </si>
  <si>
    <t>Taiwan</t>
  </si>
  <si>
    <t>TZ</t>
  </si>
  <si>
    <t>Tanzania</t>
  </si>
  <si>
    <t>UA</t>
  </si>
  <si>
    <t>Ukrainian</t>
  </si>
  <si>
    <t>UG</t>
  </si>
  <si>
    <t>Uganda</t>
  </si>
  <si>
    <t>UM</t>
  </si>
  <si>
    <t>United States Minor Outlying Islands</t>
  </si>
  <si>
    <t>US</t>
  </si>
  <si>
    <t>United States</t>
  </si>
  <si>
    <t>UY</t>
  </si>
  <si>
    <t>Uruguay</t>
  </si>
  <si>
    <t>UZ</t>
  </si>
  <si>
    <t>Uzbekistan</t>
  </si>
  <si>
    <t>VA</t>
  </si>
  <si>
    <t>Holy See</t>
  </si>
  <si>
    <t>VC</t>
  </si>
  <si>
    <t>St Vincent/Grenadines</t>
  </si>
  <si>
    <t>VE</t>
  </si>
  <si>
    <t>Venezuela</t>
  </si>
  <si>
    <t>VG</t>
  </si>
  <si>
    <t>Virgin Is, British</t>
  </si>
  <si>
    <t>VI</t>
  </si>
  <si>
    <t>Virgin Is, U.S.</t>
  </si>
  <si>
    <t>VN</t>
  </si>
  <si>
    <t>Viet Nam</t>
  </si>
  <si>
    <t>VU</t>
  </si>
  <si>
    <t>Vanuatu</t>
  </si>
  <si>
    <t>WF</t>
  </si>
  <si>
    <t>Wallis and Futuna</t>
  </si>
  <si>
    <t>Samoa</t>
  </si>
  <si>
    <t>YE</t>
  </si>
  <si>
    <t>Yemen</t>
  </si>
  <si>
    <t>Mayotte</t>
  </si>
  <si>
    <t>South Africa</t>
  </si>
  <si>
    <t>Zambia</t>
  </si>
  <si>
    <t>Zimbabwe</t>
  </si>
  <si>
    <t>Kosovo</t>
  </si>
  <si>
    <t>1F</t>
  </si>
  <si>
    <t>Contenedor flexible</t>
  </si>
  <si>
    <t>44</t>
  </si>
  <si>
    <t>Saco de plástico (polibag)</t>
  </si>
  <si>
    <t>7A</t>
  </si>
  <si>
    <t>Caja para automóvil (case car)</t>
  </si>
  <si>
    <t>7B</t>
  </si>
  <si>
    <t>Caja (case), de madera</t>
  </si>
  <si>
    <t>8A</t>
  </si>
  <si>
    <t>Paleta de madera</t>
  </si>
  <si>
    <t>8B</t>
  </si>
  <si>
    <t>Cajón de madera</t>
  </si>
  <si>
    <t>8C</t>
  </si>
  <si>
    <t>Haz de leña</t>
  </si>
  <si>
    <t>Paleta modular, anillos de 80 x 60 cm</t>
  </si>
  <si>
    <t>B4</t>
  </si>
  <si>
    <t>Correa</t>
  </si>
  <si>
    <t>Bottle, non-protected, cylindrical</t>
  </si>
  <si>
    <t>BP</t>
  </si>
  <si>
    <t>Balloon, protected</t>
  </si>
  <si>
    <t>BQ</t>
  </si>
  <si>
    <t>Bottle, protected, cylindrical</t>
  </si>
  <si>
    <t>Bar</t>
  </si>
  <si>
    <t>Bottle, non-protected, bulbous</t>
  </si>
  <si>
    <t>bolt</t>
  </si>
  <si>
    <t>BU</t>
  </si>
  <si>
    <t>Butt</t>
  </si>
  <si>
    <t>Bottle, protected, bulbous</t>
  </si>
  <si>
    <t>Box, for liquids</t>
  </si>
  <si>
    <t>BX</t>
  </si>
  <si>
    <t>Box</t>
  </si>
  <si>
    <t>Boards, in bundle/bunch/truss</t>
  </si>
  <si>
    <t>Bars, in bundle/bunch/truss</t>
  </si>
  <si>
    <t>Can, rectangular</t>
  </si>
  <si>
    <t>CB</t>
  </si>
  <si>
    <t>Beer crate</t>
  </si>
  <si>
    <t>Churn</t>
  </si>
  <si>
    <t>Can, with handle and spout</t>
  </si>
  <si>
    <t>CE</t>
  </si>
  <si>
    <t>Creel</t>
  </si>
  <si>
    <t>Coffer</t>
  </si>
  <si>
    <t>Cage</t>
  </si>
  <si>
    <t>Chest</t>
  </si>
  <si>
    <t>Canister</t>
  </si>
  <si>
    <t>CJ</t>
  </si>
  <si>
    <t>Coffin</t>
  </si>
  <si>
    <t>Cask</t>
  </si>
  <si>
    <t>Coil</t>
  </si>
  <si>
    <t>Card</t>
  </si>
  <si>
    <t>Container, not otherwise specified as transport equipment</t>
  </si>
  <si>
    <t>Carboy, non-protected</t>
  </si>
  <si>
    <t>CP</t>
  </si>
  <si>
    <t>Carboy, protected</t>
  </si>
  <si>
    <t>CQ</t>
  </si>
  <si>
    <t>Cartridge</t>
  </si>
  <si>
    <t>Crate</t>
  </si>
  <si>
    <t>CS</t>
  </si>
  <si>
    <t>Case</t>
  </si>
  <si>
    <t>CT</t>
  </si>
  <si>
    <t>Carton</t>
  </si>
  <si>
    <t>Cup</t>
  </si>
  <si>
    <t>Cover</t>
  </si>
  <si>
    <t>CW</t>
  </si>
  <si>
    <t>Cage, roll</t>
  </si>
  <si>
    <t>Can, cylindrical</t>
  </si>
  <si>
    <t>Cylinder</t>
  </si>
  <si>
    <t>Canvas</t>
  </si>
  <si>
    <t>DA</t>
  </si>
  <si>
    <t>Crate, multiple layer, plastic</t>
  </si>
  <si>
    <t>DB</t>
  </si>
  <si>
    <t>Crate, multiple layer, wooden</t>
  </si>
  <si>
    <t>DC</t>
  </si>
  <si>
    <t>Crate, multiple layer, cardboard</t>
  </si>
  <si>
    <t>DG</t>
  </si>
  <si>
    <t>Cage, Commonwealth Handling Equipment Pool (CHEP)</t>
  </si>
  <si>
    <t>DH</t>
  </si>
  <si>
    <t>Box, Commonwealth Handling Equipment Pool (CHEP), Eurobox</t>
  </si>
  <si>
    <t>DI</t>
  </si>
  <si>
    <t>Drum, iron</t>
  </si>
  <si>
    <t>Demijohn, non-protected</t>
  </si>
  <si>
    <t>Crate, bulk, cardboard</t>
  </si>
  <si>
    <t>DL</t>
  </si>
  <si>
    <t>Crate, bulk, plastic</t>
  </si>
  <si>
    <t>Crate, bulk, wooden</t>
  </si>
  <si>
    <t>DN</t>
  </si>
  <si>
    <t>Dispenser</t>
  </si>
  <si>
    <t>DP</t>
  </si>
  <si>
    <t>Demijohn, protected</t>
  </si>
  <si>
    <t>DR</t>
  </si>
  <si>
    <t>Drum</t>
  </si>
  <si>
    <t>DS</t>
  </si>
  <si>
    <t>Tray, one layer no cover, plastic</t>
  </si>
  <si>
    <t>DT</t>
  </si>
  <si>
    <t>Bandeja, de madera, de un nivel, sin tapa</t>
  </si>
  <si>
    <t>DU</t>
  </si>
  <si>
    <t>Bandeja, de poliestireno, de un nivel, sin tapa</t>
  </si>
  <si>
    <t>DV</t>
  </si>
  <si>
    <t>Tray, one layer no cover, cardboard</t>
  </si>
  <si>
    <t>DW</t>
  </si>
  <si>
    <t>Bandeja, de plástico, de dos niveles, sin tapa</t>
  </si>
  <si>
    <t>DX</t>
  </si>
  <si>
    <t>Tray, two layers no cover, wooden</t>
  </si>
  <si>
    <t>DY</t>
  </si>
  <si>
    <t>Tray, two layers no cover, cardboard</t>
  </si>
  <si>
    <t>Bag, plastic</t>
  </si>
  <si>
    <t>ED</t>
  </si>
  <si>
    <t>Case, with pallet base</t>
  </si>
  <si>
    <t>Case, with pallet base, wooden</t>
  </si>
  <si>
    <t>EF</t>
  </si>
  <si>
    <t>Case, with pallet base, cardboard</t>
  </si>
  <si>
    <t>Case, with pallet base, plastic</t>
  </si>
  <si>
    <t>Case, with pallet base, metal</t>
  </si>
  <si>
    <t>EI</t>
  </si>
  <si>
    <t>Case, isothermic</t>
  </si>
  <si>
    <t>EN</t>
  </si>
  <si>
    <t>Envelope</t>
  </si>
  <si>
    <t>FB</t>
  </si>
  <si>
    <t>Bolsa flexible para contenedor(flexibag)</t>
  </si>
  <si>
    <t>FC</t>
  </si>
  <si>
    <t>Fruit crate</t>
  </si>
  <si>
    <t>FD</t>
  </si>
  <si>
    <t>Framed crate</t>
  </si>
  <si>
    <t>FE</t>
  </si>
  <si>
    <t>Tanque flexible para contenedor(flexitank)</t>
  </si>
  <si>
    <t>Firkin</t>
  </si>
  <si>
    <t>FL</t>
  </si>
  <si>
    <t>Flask</t>
  </si>
  <si>
    <t>Footlocker</t>
  </si>
  <si>
    <t>FP</t>
  </si>
  <si>
    <t>Filmpack</t>
  </si>
  <si>
    <t>Frame</t>
  </si>
  <si>
    <t>FT</t>
  </si>
  <si>
    <t>Foodtainer</t>
  </si>
  <si>
    <t>FW</t>
  </si>
  <si>
    <t>Carreta, de plataforma</t>
  </si>
  <si>
    <t>FX</t>
  </si>
  <si>
    <t>Bag, flexible container</t>
  </si>
  <si>
    <t>Gas bottle</t>
  </si>
  <si>
    <t>Girder</t>
  </si>
  <si>
    <t>Contenedor de un galón</t>
  </si>
  <si>
    <t>Receptacle, glass</t>
  </si>
  <si>
    <t>Bandeja contenedora conartículos planos apilados</t>
  </si>
  <si>
    <t>Saco de yute o arpillera</t>
  </si>
  <si>
    <t>GZ</t>
  </si>
  <si>
    <t>Girders, in bundle/bunch/truss</t>
  </si>
  <si>
    <t>HA</t>
  </si>
  <si>
    <t>Basket, with handle, plastic</t>
  </si>
  <si>
    <t>HB</t>
  </si>
  <si>
    <t>Basket, with handle, wooden</t>
  </si>
  <si>
    <t>HC</t>
  </si>
  <si>
    <t>Basket, with handle, cardboard</t>
  </si>
  <si>
    <t>HG</t>
  </si>
  <si>
    <t>Hogshead</t>
  </si>
  <si>
    <t>Gancho (hanger)</t>
  </si>
  <si>
    <t>Hamper</t>
  </si>
  <si>
    <t>IA</t>
  </si>
  <si>
    <t>Package, display, wooden</t>
  </si>
  <si>
    <t>IB</t>
  </si>
  <si>
    <t>Package, display, cardboard</t>
  </si>
  <si>
    <t>IC</t>
  </si>
  <si>
    <t>Package, display, plastic</t>
  </si>
  <si>
    <t>Package, display, metal</t>
  </si>
  <si>
    <t>Package, show</t>
  </si>
  <si>
    <t>IF</t>
  </si>
  <si>
    <t>Package, flow</t>
  </si>
  <si>
    <t>IG</t>
  </si>
  <si>
    <t>Package, paper-wrapped</t>
  </si>
  <si>
    <t>IH</t>
  </si>
  <si>
    <t>Drum, plastic</t>
  </si>
  <si>
    <t>IK</t>
  </si>
  <si>
    <t>Package, cardboard, with bottle grip-holes</t>
  </si>
  <si>
    <t>Bandeja rígida, con tapa, apilable (CEN TS 14482:2002)</t>
  </si>
  <si>
    <t>Ingot</t>
  </si>
  <si>
    <t>IZ</t>
  </si>
  <si>
    <t>Ingots, in bundle/bunch/truss</t>
  </si>
  <si>
    <t>JB</t>
  </si>
  <si>
    <t>Saco cúbico de polipropileno (jumbo bag)</t>
  </si>
  <si>
    <t>JC</t>
  </si>
  <si>
    <t>Jerrycan, rectangular</t>
  </si>
  <si>
    <t>JG</t>
  </si>
  <si>
    <t>Jug</t>
  </si>
  <si>
    <t>JR</t>
  </si>
  <si>
    <t>Jar</t>
  </si>
  <si>
    <t>JT</t>
  </si>
  <si>
    <t>Jutebag</t>
  </si>
  <si>
    <t>JY</t>
  </si>
  <si>
    <t>Jerrycan, cylindrical</t>
  </si>
  <si>
    <t>Keg</t>
  </si>
  <si>
    <t>Juego (kit)</t>
  </si>
  <si>
    <t>Container</t>
  </si>
  <si>
    <t>LE</t>
  </si>
  <si>
    <t>Equipaje</t>
  </si>
  <si>
    <t>LG</t>
  </si>
  <si>
    <t>Log</t>
  </si>
  <si>
    <t>Lot</t>
  </si>
  <si>
    <t>Caja de madera (lug)</t>
  </si>
  <si>
    <t>Lift van</t>
  </si>
  <si>
    <t>LZ</t>
  </si>
  <si>
    <t>Logs, in bundle/bunch/truss</t>
  </si>
  <si>
    <t>Cajón de metal</t>
  </si>
  <si>
    <t>MB</t>
  </si>
  <si>
    <t>Multiply bag</t>
  </si>
  <si>
    <t>Milk crate</t>
  </si>
  <si>
    <t>Contenedor de metal</t>
  </si>
  <si>
    <t>Receptacle, metal</t>
  </si>
  <si>
    <t>Multiwall sack</t>
  </si>
  <si>
    <t>Mat</t>
  </si>
  <si>
    <t>Receptacle, plastic-wrapped</t>
  </si>
  <si>
    <t>Matchbox</t>
  </si>
  <si>
    <t>Not available</t>
  </si>
  <si>
    <t>Unpacked or unpackaged</t>
  </si>
  <si>
    <t>Unpacked or unpackaged, single unit</t>
  </si>
  <si>
    <t>Unpacked or unpackaged, multiple units</t>
  </si>
  <si>
    <t>NS</t>
  </si>
  <si>
    <t>Nest</t>
  </si>
  <si>
    <t>NT</t>
  </si>
  <si>
    <t>Net</t>
  </si>
  <si>
    <t>Net, tube, plastic</t>
  </si>
  <si>
    <t>NV</t>
  </si>
  <si>
    <t>Net, tube, textile</t>
  </si>
  <si>
    <t>OA</t>
  </si>
  <si>
    <t>Paleta, CHEP 40 cm x 60 cm</t>
  </si>
  <si>
    <t>OB</t>
  </si>
  <si>
    <t>Paleta, CHEP 80 cm x 120 cm</t>
  </si>
  <si>
    <t>OC</t>
  </si>
  <si>
    <t>Paleta, CHEP 100 cm x 120 cm</t>
  </si>
  <si>
    <t>OD</t>
  </si>
  <si>
    <t>Paleta, AS 4068-1993</t>
  </si>
  <si>
    <t>OE</t>
  </si>
  <si>
    <t>Paleta, ISO T11</t>
  </si>
  <si>
    <t>OF</t>
  </si>
  <si>
    <t>Plataforma de peso o dimensión indeterminados</t>
  </si>
  <si>
    <t>OK</t>
  </si>
  <si>
    <t>Bloque</t>
  </si>
  <si>
    <t>OT</t>
  </si>
  <si>
    <t>Gran contenedor de cartón octogonal (octabin)</t>
  </si>
  <si>
    <t>OU</t>
  </si>
  <si>
    <t>Contenedor exterior</t>
  </si>
  <si>
    <t>P2</t>
  </si>
  <si>
    <t>Bandeja (pan)</t>
  </si>
  <si>
    <t>Packet</t>
  </si>
  <si>
    <t>PB</t>
  </si>
  <si>
    <t>Pallet, box</t>
  </si>
  <si>
    <t>PC</t>
  </si>
  <si>
    <t>Parcel</t>
  </si>
  <si>
    <t>PD</t>
  </si>
  <si>
    <t>Pallet, modular, collars 80 cm × 100 cm</t>
  </si>
  <si>
    <t>Pallet, modular, collars 80 cm × 120 cm</t>
  </si>
  <si>
    <t>Pen</t>
  </si>
  <si>
    <t>Plate</t>
  </si>
  <si>
    <t>Pitcher</t>
  </si>
  <si>
    <t>PI</t>
  </si>
  <si>
    <t>Pipe</t>
  </si>
  <si>
    <t>PJ</t>
  </si>
  <si>
    <t>Punnet</t>
  </si>
  <si>
    <t>Package</t>
  </si>
  <si>
    <t>Pail</t>
  </si>
  <si>
    <t>Plank</t>
  </si>
  <si>
    <t>PO</t>
  </si>
  <si>
    <t>Pouch</t>
  </si>
  <si>
    <t>PP</t>
  </si>
  <si>
    <t>Pieza suelta</t>
  </si>
  <si>
    <t>Receptacle, plastic</t>
  </si>
  <si>
    <t>Pot</t>
  </si>
  <si>
    <t>PU</t>
  </si>
  <si>
    <t>Tray/Tray pack</t>
  </si>
  <si>
    <t>PV</t>
  </si>
  <si>
    <t>Pipes, in bundle/bunch/truss</t>
  </si>
  <si>
    <t>PX</t>
  </si>
  <si>
    <t>Pallet</t>
  </si>
  <si>
    <t>Plates, in bundle/bunch/truss</t>
  </si>
  <si>
    <t>PZ</t>
  </si>
  <si>
    <t>Pipes/planks, in bundle/bunch/truss</t>
  </si>
  <si>
    <t>Drum, steel, non-removable head</t>
  </si>
  <si>
    <t>QB</t>
  </si>
  <si>
    <t>Drum, steel, removable head</t>
  </si>
  <si>
    <t>QC</t>
  </si>
  <si>
    <t>Drum, aluminium, non-removable head</t>
  </si>
  <si>
    <t>QD</t>
  </si>
  <si>
    <t>Drum, aluminium, removable head</t>
  </si>
  <si>
    <t>QF</t>
  </si>
  <si>
    <t>Drum, plastic, non-removable head</t>
  </si>
  <si>
    <t>QG</t>
  </si>
  <si>
    <t>Drum, plastic, removable head</t>
  </si>
  <si>
    <t>QH</t>
  </si>
  <si>
    <t>Barrel, wooden, bung type</t>
  </si>
  <si>
    <t>QJ</t>
  </si>
  <si>
    <t>Barrel, wooden, removable head</t>
  </si>
  <si>
    <t>QK</t>
  </si>
  <si>
    <t>Jerrycan, steel, non-removable head</t>
  </si>
  <si>
    <t>QL</t>
  </si>
  <si>
    <t>Jerrycan, steel, removable head</t>
  </si>
  <si>
    <t>QM</t>
  </si>
  <si>
    <t>Jerrycan, plastic, non-removable head</t>
  </si>
  <si>
    <t>QN</t>
  </si>
  <si>
    <t>Jerrycan, plastic, removable head</t>
  </si>
  <si>
    <t>QP</t>
  </si>
  <si>
    <t>Box, wooden, natural wood, ordinary</t>
  </si>
  <si>
    <t>QQ</t>
  </si>
  <si>
    <t>Box, wooden, natural wood, with sift proof walls</t>
  </si>
  <si>
    <t>QR</t>
  </si>
  <si>
    <t>Box, plastic, expanded</t>
  </si>
  <si>
    <t>QS</t>
  </si>
  <si>
    <t>Box, plastic, solid</t>
  </si>
  <si>
    <t>RD</t>
  </si>
  <si>
    <t>Rod</t>
  </si>
  <si>
    <t>RG</t>
  </si>
  <si>
    <t>Ring</t>
  </si>
  <si>
    <t>RJ</t>
  </si>
  <si>
    <t>Rack, clothing hanger</t>
  </si>
  <si>
    <t>RK</t>
  </si>
  <si>
    <t>Rack</t>
  </si>
  <si>
    <t>RL</t>
  </si>
  <si>
    <t>Reel</t>
  </si>
  <si>
    <t>Roll</t>
  </si>
  <si>
    <t>RT</t>
  </si>
  <si>
    <t>Rednet</t>
  </si>
  <si>
    <t>RZ</t>
  </si>
  <si>
    <t>Rods, in bundle/bunch/truss</t>
  </si>
  <si>
    <t>Sack</t>
  </si>
  <si>
    <t>Slab</t>
  </si>
  <si>
    <t>Shallow crate</t>
  </si>
  <si>
    <t>Spindle</t>
  </si>
  <si>
    <t>Sea-chest</t>
  </si>
  <si>
    <t>Sachet</t>
  </si>
  <si>
    <t>Skid</t>
  </si>
  <si>
    <t>Skeleton case</t>
  </si>
  <si>
    <t>Slipsheet</t>
  </si>
  <si>
    <t>Sheetmetal</t>
  </si>
  <si>
    <t>Spool</t>
  </si>
  <si>
    <t>SP</t>
  </si>
  <si>
    <t>Sheet, plastic wrapping</t>
  </si>
  <si>
    <t>SS</t>
  </si>
  <si>
    <t>Case, steel</t>
  </si>
  <si>
    <t>Sheet</t>
  </si>
  <si>
    <t>SU</t>
  </si>
  <si>
    <t>Suitcase</t>
  </si>
  <si>
    <t>Envelope, steel</t>
  </si>
  <si>
    <t>SW</t>
  </si>
  <si>
    <t>Shrinkwrapped</t>
  </si>
  <si>
    <t>SX</t>
  </si>
  <si>
    <t>Set</t>
  </si>
  <si>
    <t>Sleeve</t>
  </si>
  <si>
    <t>Sheets, in bundle/bunch/truss</t>
  </si>
  <si>
    <t>Comprimido (tablet)</t>
  </si>
  <si>
    <t>TB</t>
  </si>
  <si>
    <t>Tub</t>
  </si>
  <si>
    <t>Tea-chest</t>
  </si>
  <si>
    <t>Tube, collapsible/Collapsible tube</t>
  </si>
  <si>
    <t>TE</t>
  </si>
  <si>
    <t>Neumático</t>
  </si>
  <si>
    <t>Tanque contenedor genérico</t>
  </si>
  <si>
    <t>TI</t>
  </si>
  <si>
    <t>Tierce</t>
  </si>
  <si>
    <t>Tank, rectangular</t>
  </si>
  <si>
    <t>Tub, with lid</t>
  </si>
  <si>
    <t>Tin</t>
  </si>
  <si>
    <t>Tun</t>
  </si>
  <si>
    <t>Trunk</t>
  </si>
  <si>
    <t>TS</t>
  </si>
  <si>
    <t>Truss</t>
  </si>
  <si>
    <t>Saco o cesta (bag tote)</t>
  </si>
  <si>
    <t>TU</t>
  </si>
  <si>
    <t>Tube</t>
  </si>
  <si>
    <t>Tube, with nozzle</t>
  </si>
  <si>
    <t>Paleta de cartón ondulado</t>
  </si>
  <si>
    <t>TY</t>
  </si>
  <si>
    <t>Tank, cylindrical</t>
  </si>
  <si>
    <t>Tube, in bundle/bunch/truss</t>
  </si>
  <si>
    <t>UC</t>
  </si>
  <si>
    <t>Uncaged</t>
  </si>
  <si>
    <t>UN</t>
  </si>
  <si>
    <t>Unidad</t>
  </si>
  <si>
    <t>Vat</t>
  </si>
  <si>
    <t>Bulk, gas (at 1031 mbar and 15°C)</t>
  </si>
  <si>
    <t>Vial</t>
  </si>
  <si>
    <t>VK</t>
  </si>
  <si>
    <t>Vanpack</t>
  </si>
  <si>
    <t>VL</t>
  </si>
  <si>
    <t>Bulk, liquid</t>
  </si>
  <si>
    <t>Vehículo</t>
  </si>
  <si>
    <t>VO</t>
  </si>
  <si>
    <t>Bulk, solid, large particles ("nodules")</t>
  </si>
  <si>
    <t>VP</t>
  </si>
  <si>
    <t>Vacuum-packed</t>
  </si>
  <si>
    <t>VQ</t>
  </si>
  <si>
    <t>Bulk, liquefied gas at abnormal temperature</t>
  </si>
  <si>
    <t>VR</t>
  </si>
  <si>
    <t>Bulk, solid, granulated particles ("grains")</t>
  </si>
  <si>
    <t>VS</t>
  </si>
  <si>
    <t>Chatarra a granel</t>
  </si>
  <si>
    <t>VY</t>
  </si>
  <si>
    <t>Bulk, solid, fine particles ("powders")</t>
  </si>
  <si>
    <t>WA</t>
  </si>
  <si>
    <t>Intermediate bulk container</t>
  </si>
  <si>
    <t>WB</t>
  </si>
  <si>
    <t>Wicker bottle</t>
  </si>
  <si>
    <t>WC</t>
  </si>
  <si>
    <t>Intermediate bulk container, steel</t>
  </si>
  <si>
    <t>WD</t>
  </si>
  <si>
    <t>Intermediate bulk container, aluminium</t>
  </si>
  <si>
    <t>Intermediate bulk container, metal</t>
  </si>
  <si>
    <t>WG</t>
  </si>
  <si>
    <t>Intermediate bulk container, steel, pressurised &gt; 10 kPa</t>
  </si>
  <si>
    <t>WH</t>
  </si>
  <si>
    <t>Intermediate bulk container, aluminium, pressurised &gt; 10 kPa</t>
  </si>
  <si>
    <t>WJ</t>
  </si>
  <si>
    <t>Intermediate bulk container, metal, pressure 10 kPa</t>
  </si>
  <si>
    <t>WK</t>
  </si>
  <si>
    <t>Intermediate bulk container, steel, liquid</t>
  </si>
  <si>
    <t>WL</t>
  </si>
  <si>
    <t>Intermediate bulk container, aluminium, liquid</t>
  </si>
  <si>
    <t>WM</t>
  </si>
  <si>
    <t>Intermediate bulk container, metal, liquid</t>
  </si>
  <si>
    <t>AFN</t>
  </si>
  <si>
    <t>XAU</t>
  </si>
  <si>
    <t>AOA</t>
  </si>
  <si>
    <t>XCD</t>
  </si>
  <si>
    <t>ARS</t>
  </si>
  <si>
    <t>ALL</t>
  </si>
  <si>
    <t>AZN</t>
  </si>
  <si>
    <t>BBD</t>
  </si>
  <si>
    <t>BZD</t>
  </si>
  <si>
    <t>BTN</t>
  </si>
  <si>
    <t>BOB</t>
  </si>
  <si>
    <t>BOV</t>
  </si>
  <si>
    <t>BAM</t>
  </si>
  <si>
    <t>BRL</t>
  </si>
  <si>
    <t>GHS</t>
  </si>
  <si>
    <t>GNF</t>
  </si>
  <si>
    <t>GTQ</t>
  </si>
  <si>
    <t>GYD</t>
  </si>
  <si>
    <t>XAG</t>
  </si>
  <si>
    <t>SSP</t>
  </si>
  <si>
    <t>GEL</t>
  </si>
  <si>
    <t>HTG</t>
  </si>
  <si>
    <t>HNL</t>
  </si>
  <si>
    <t>ILS</t>
  </si>
  <si>
    <t>ISK</t>
  </si>
  <si>
    <t>JMD</t>
  </si>
  <si>
    <t>KHR</t>
  </si>
  <si>
    <t>KYD</t>
  </si>
  <si>
    <t>KZT</t>
  </si>
  <si>
    <t>KGS</t>
  </si>
  <si>
    <t>COP</t>
  </si>
  <si>
    <t>CDF</t>
  </si>
  <si>
    <t>CRC</t>
  </si>
  <si>
    <t>CUC</t>
  </si>
  <si>
    <t>CUP</t>
  </si>
  <si>
    <t>LAK</t>
  </si>
  <si>
    <t>LVL</t>
  </si>
  <si>
    <t>MGA</t>
  </si>
  <si>
    <t>MWK</t>
  </si>
  <si>
    <t>MVR</t>
  </si>
  <si>
    <t>MXN</t>
  </si>
  <si>
    <t>MNT</t>
  </si>
  <si>
    <t>MZN</t>
  </si>
  <si>
    <t>NPR</t>
  </si>
  <si>
    <t>NGN</t>
  </si>
  <si>
    <t>NIO</t>
  </si>
  <si>
    <t>XPD</t>
  </si>
  <si>
    <t>PAB</t>
  </si>
  <si>
    <t>PYG</t>
  </si>
  <si>
    <t>PEN</t>
  </si>
  <si>
    <t>XPT</t>
  </si>
  <si>
    <t>RWF</t>
  </si>
  <si>
    <t>STD</t>
  </si>
  <si>
    <t>SLL</t>
  </si>
  <si>
    <t>SHP</t>
  </si>
  <si>
    <t>SDG</t>
  </si>
  <si>
    <t>SRD</t>
  </si>
  <si>
    <t>CLP</t>
  </si>
  <si>
    <t>TJS</t>
  </si>
  <si>
    <t>TTD</t>
  </si>
  <si>
    <t>TMT</t>
  </si>
  <si>
    <t>UGX</t>
  </si>
  <si>
    <t>UYU</t>
  </si>
  <si>
    <t>VEF</t>
  </si>
  <si>
    <t>VND</t>
  </si>
  <si>
    <t>CVE</t>
  </si>
  <si>
    <t>ZMK</t>
  </si>
  <si>
    <t>ZWL</t>
  </si>
  <si>
    <t>XXX</t>
  </si>
  <si>
    <t>US Dollar</t>
  </si>
  <si>
    <t>Afghanistan Afghani</t>
  </si>
  <si>
    <t>Gold (oz.)</t>
  </si>
  <si>
    <t>Kwanza</t>
  </si>
  <si>
    <t>East Carribbean Dollar</t>
  </si>
  <si>
    <t>Argentine Peso</t>
  </si>
  <si>
    <t>Albanian Lek</t>
  </si>
  <si>
    <t>Aruban  Guilder</t>
  </si>
  <si>
    <t>Australian Dollar</t>
  </si>
  <si>
    <t>Azerbaijanian Manat</t>
  </si>
  <si>
    <t>Bahamian Dollar</t>
  </si>
  <si>
    <t>Bahraini Dinar</t>
  </si>
  <si>
    <t>Bangladeshi Taka</t>
  </si>
  <si>
    <t>Barbados Dollar</t>
  </si>
  <si>
    <t>Belize Dollar</t>
  </si>
  <si>
    <t>Benin, CFA Franc BCEAO</t>
  </si>
  <si>
    <t>Bermudian Dollar</t>
  </si>
  <si>
    <t>Belarussian Ruble</t>
  </si>
  <si>
    <t>Bhutan Ngultrum</t>
  </si>
  <si>
    <t>United Arab Emirates Dirham</t>
  </si>
  <si>
    <t>Bolivian Boliviano</t>
  </si>
  <si>
    <t>Mvdol</t>
  </si>
  <si>
    <t>Convertible Marks</t>
  </si>
  <si>
    <t>Botswana Pula</t>
  </si>
  <si>
    <t>Brazilian Real</t>
  </si>
  <si>
    <t>Brunei Dollar</t>
  </si>
  <si>
    <t>Bulgarian Lev</t>
  </si>
  <si>
    <t>Burkino Faso, CFA Franc BCEAO</t>
  </si>
  <si>
    <t>Burundi Franc</t>
  </si>
  <si>
    <t>Gibraltar Pound</t>
  </si>
  <si>
    <t>Algerian Dinar</t>
  </si>
  <si>
    <t>Djibouti Franc</t>
  </si>
  <si>
    <t>Chad, CFA Franc BEAC</t>
  </si>
  <si>
    <t>Czech Koruna</t>
  </si>
  <si>
    <t>Chinese Yuan Renminbi</t>
  </si>
  <si>
    <t>Danish Krone</t>
  </si>
  <si>
    <t>Ghanaian Cedi</t>
  </si>
  <si>
    <t>Guinea Franc</t>
  </si>
  <si>
    <t xml:space="preserve">CFA Frangı BCEAO </t>
  </si>
  <si>
    <t>East Caribbean Dollar</t>
  </si>
  <si>
    <t>Guatemalan Quetzal</t>
  </si>
  <si>
    <t>Guyanan Dollar</t>
  </si>
  <si>
    <t>Silver (oz.)</t>
  </si>
  <si>
    <t>South African Rand</t>
  </si>
  <si>
    <t>South Sudanese Pound </t>
  </si>
  <si>
    <t>Lari</t>
  </si>
  <si>
    <t>Haitian Gourde</t>
  </si>
  <si>
    <t>Croatian Kuna</t>
  </si>
  <si>
    <t>Indian Rupee</t>
  </si>
  <si>
    <t>Netherlands Antillian Guilder</t>
  </si>
  <si>
    <t>Honduran Lempira</t>
  </si>
  <si>
    <t>Hong Kong Dollar</t>
  </si>
  <si>
    <t>Iraqi Dinar</t>
  </si>
  <si>
    <t>Pound Sterling</t>
  </si>
  <si>
    <t>Iranian Rial</t>
  </si>
  <si>
    <t>Israeli New Shekel</t>
  </si>
  <si>
    <t>Swedish Krona</t>
  </si>
  <si>
    <t>Swiss Franc</t>
  </si>
  <si>
    <t>Iceland Krona</t>
  </si>
  <si>
    <t>Jamaican Dollar</t>
  </si>
  <si>
    <t>Japanese Yen</t>
  </si>
  <si>
    <t>Kampuchean (Cambodian) Riel</t>
  </si>
  <si>
    <t>Cameroon, CFA Franc BEAC</t>
  </si>
  <si>
    <t>Canadian Dollar</t>
  </si>
  <si>
    <t>Qatari Rial</t>
  </si>
  <si>
    <t>Cayman Islands Dollar</t>
  </si>
  <si>
    <t>Kazakhstan Tenge</t>
  </si>
  <si>
    <t>Kenyan Schilling</t>
  </si>
  <si>
    <t>Som</t>
  </si>
  <si>
    <t>Colombian Peso</t>
  </si>
  <si>
    <t>Comoros Franc</t>
  </si>
  <si>
    <t xml:space="preserve">Franc Congolais </t>
  </si>
  <si>
    <t>Congo, CFA Franc BEAC</t>
  </si>
  <si>
    <t>Won</t>
  </si>
  <si>
    <t>Costa Rican Colon</t>
  </si>
  <si>
    <t>Kuwaiti Dinar</t>
  </si>
  <si>
    <t>North Korean Won</t>
  </si>
  <si>
    <t>Cuban Peso Convertible </t>
  </si>
  <si>
    <t>Cuban Peso</t>
  </si>
  <si>
    <t>Lao Kip</t>
  </si>
  <si>
    <t>Lesotho Loti</t>
  </si>
  <si>
    <t>Latvian Lats</t>
  </si>
  <si>
    <t>Liberian Dollar</t>
  </si>
  <si>
    <t>Libyan Dinar</t>
  </si>
  <si>
    <t>Lithuanian Litus</t>
  </si>
  <si>
    <t>Lebanese Pound</t>
  </si>
  <si>
    <t>Hungarian Forint</t>
  </si>
  <si>
    <t>Malagasy Ariary </t>
  </si>
  <si>
    <t>Macau Pataca</t>
  </si>
  <si>
    <t>Denar</t>
  </si>
  <si>
    <t>Malawi Kwacha</t>
  </si>
  <si>
    <t>Maldive Rufiyaa</t>
  </si>
  <si>
    <t>Malaysian Ringgit</t>
  </si>
  <si>
    <t>Mali, CFA Franc BCEAO</t>
  </si>
  <si>
    <t>Mauritius Rupee</t>
  </si>
  <si>
    <t>Mexican Peso</t>
  </si>
  <si>
    <t>Egyptian Pound</t>
  </si>
  <si>
    <t>Mongolian Tugrik</t>
  </si>
  <si>
    <t>Moldovan Leu</t>
  </si>
  <si>
    <t>Mauritanian Ouguiya</t>
  </si>
  <si>
    <t>Mozambique Metical</t>
  </si>
  <si>
    <t>Myanmar Kyat</t>
  </si>
  <si>
    <t>Namibian Dollar</t>
  </si>
  <si>
    <t>Namibia Rand</t>
  </si>
  <si>
    <t>Nepalese Rupee</t>
  </si>
  <si>
    <t>Niger, CFA Franc BCEAO</t>
  </si>
  <si>
    <t>Nigerian Naira</t>
  </si>
  <si>
    <t>Nicaraguan Cordoba Oro</t>
  </si>
  <si>
    <t>Norwegian Kroner</t>
  </si>
  <si>
    <t>Central African Republic, CFA Franc BEAC</t>
  </si>
  <si>
    <t>Uzbekistan Sum</t>
  </si>
  <si>
    <t>Pakistan Rupee</t>
  </si>
  <si>
    <t>Palladium (oz.)</t>
  </si>
  <si>
    <t>Panamanian Balboa</t>
  </si>
  <si>
    <t>Papua New Guinea Kina</t>
  </si>
  <si>
    <t>Paraguay Guarani</t>
  </si>
  <si>
    <t>Peruvian Nuevo Sol</t>
  </si>
  <si>
    <t>Platinum (oz.)</t>
  </si>
  <si>
    <t>Zloty</t>
  </si>
  <si>
    <t>Rwanda Franc</t>
  </si>
  <si>
    <t>Russian Rouble</t>
  </si>
  <si>
    <t>Samoan Tala</t>
  </si>
  <si>
    <t>Sao Tome and Principe Dobra</t>
  </si>
  <si>
    <t>Senegal, CFA Franc BCEAO</t>
  </si>
  <si>
    <t>Seychelles Rupee</t>
  </si>
  <si>
    <t>Serbian Dinar </t>
  </si>
  <si>
    <t>Sierra Leone Leone</t>
  </si>
  <si>
    <t>Singapore Dollar</t>
  </si>
  <si>
    <t>Solomon Islands Dollar</t>
  </si>
  <si>
    <t>Somali Schilling</t>
  </si>
  <si>
    <t>Sri Lanka Rupee</t>
  </si>
  <si>
    <t>St. Helena Pound</t>
  </si>
  <si>
    <t>Sudanese Dinar</t>
  </si>
  <si>
    <t>Surinam Dollar</t>
  </si>
  <si>
    <t>Syrian Pound</t>
  </si>
  <si>
    <t>Saudi Riyal</t>
  </si>
  <si>
    <t>Swaziland Lilangeni</t>
  </si>
  <si>
    <t>Chilean Peso</t>
  </si>
  <si>
    <t>Somoni</t>
  </si>
  <si>
    <t>Tanzanian Schilling</t>
  </si>
  <si>
    <t>Thai Baht</t>
  </si>
  <si>
    <t>New Taiwan Dollar</t>
  </si>
  <si>
    <t>Togo, CFA Franc BCEAO</t>
  </si>
  <si>
    <t>Tongan Pa'anga</t>
  </si>
  <si>
    <t>Trinidad and Tobago Dollar</t>
  </si>
  <si>
    <t>Tunisian Dinar</t>
  </si>
  <si>
    <t>Turkish Lira</t>
  </si>
  <si>
    <t>Turkmenistan New Manat </t>
  </si>
  <si>
    <t>Uganda Shilling</t>
  </si>
  <si>
    <t>Ukraine Hryvnia</t>
  </si>
  <si>
    <t>Rial Omani</t>
  </si>
  <si>
    <t>Peso Uruguayo</t>
  </si>
  <si>
    <t>Jordanian Dinar</t>
  </si>
  <si>
    <t>Vanuatu Vatu</t>
  </si>
  <si>
    <t>Venezuelan Bolivar</t>
  </si>
  <si>
    <t>Vietnamese Dong</t>
  </si>
  <si>
    <t>Wallis and Futuna, CFP Franc</t>
  </si>
  <si>
    <t>Yemeni Rial</t>
  </si>
  <si>
    <t>New Caledonia, CFP Franc</t>
  </si>
  <si>
    <t>New Romanian Leu </t>
  </si>
  <si>
    <t>New Zealand Dollar</t>
  </si>
  <si>
    <t>Cape Verde Escudo</t>
  </si>
  <si>
    <t>Zambian Kwacha</t>
  </si>
  <si>
    <t>Zimbabwe Dollar</t>
  </si>
  <si>
    <t>Others</t>
  </si>
  <si>
    <t>Code</t>
  </si>
  <si>
    <t>Transactions in which the Property of the Goods has been transferred in monetary or other terms - Direct Purchase or Sale</t>
  </si>
  <si>
    <t>Transactions in which the Property of the Goods has been transferred in monetary or other terms - Consignment Sales or Broker Sales</t>
  </si>
  <si>
    <t>Transactions in which the Property of the Goods has been transferred in monetary or other terms - Exchange</t>
  </si>
  <si>
    <t>Transactions in which the Property of the Goods has been transferred in monetary or other terms - Personal Purchasing of Passengers</t>
  </si>
  <si>
    <t>Transactions in which the Property of the Goods has been transferred in monetary or other terms - Financial Leasing</t>
  </si>
  <si>
    <t>Transactions in which the Property of the Goods has been transferred in monetary or other terms - Other</t>
  </si>
  <si>
    <t>Return of Goods-Returned Goods</t>
  </si>
  <si>
    <t>Replacement of Returned Goods</t>
  </si>
  <si>
    <t>Replacement of Returned Goods Without Returning Goods (Example: Under Warranty)</t>
  </si>
  <si>
    <t>Return of goods-Return to Consignor</t>
  </si>
  <si>
    <t>Transactions in which the Ownership of the Goods is transferred without monetary or other provision - Aid programs, fully or partially financed by the EU</t>
  </si>
  <si>
    <t>Transactions in which the Ownership of the Goods is transferred without monetary or other provision - General Government Assistance Programs (Public Legal Entities)</t>
  </si>
  <si>
    <t>Transactions in which the Ownership of the Goods is transferred without monetary or other provision - Other Aid Programs (Private legal entities, natural persons and non-governmental organizations)</t>
  </si>
  <si>
    <t>Goods Arrived / Shipped for Processing and Expected to Return to the First Country of Export (Contracted)</t>
  </si>
  <si>
    <t>Goods Arrived / Shipped for Processing and Not Expected to Return to the First Country of Origin (Without Ownership of Goods and Contracted)</t>
  </si>
  <si>
    <t>Goods Arrived / Shipped After Processing and Returned to the First Country of Export (Without Ownership of Goods and Contracted)</t>
  </si>
  <si>
    <t>Goods Arrived / Shipped After Processing and Returned to a Country Other than the First Issued Country</t>
  </si>
  <si>
    <t>Goods Received / Sent for Maintenance and Repair in return for Payment</t>
  </si>
  <si>
    <t>Return of goods received / sent after maintenance and repair against payment</t>
  </si>
  <si>
    <t>Incoming / Sent Items to See Maintenance without a Payment</t>
  </si>
  <si>
    <t>Return of Goods Arrived / Sent After Maintenance and Repair without a Payment</t>
  </si>
  <si>
    <t>Temporary Arrival / Sent Goods for Exhibition and Fair</t>
  </si>
  <si>
    <t>Return of Goods Arrived / Sent Temporarily for Exhibition and Fair</t>
  </si>
  <si>
    <t>Temporary Incoming / Sent Goods for Testing, Control and Sample Purposes</t>
  </si>
  <si>
    <t>Return of Transient Incoming / Outgoing Goods for Testing, Inspection, Sampling</t>
  </si>
  <si>
    <t>Processes on Joint Defense Projects and Intergovernmental Production Programs</t>
  </si>
  <si>
    <t>No Separate Billing of Goods; Scope of a General Construction or Engineering Contract Covering the Procurement of Construction Material and Technical Equipment for a Single Invoice for the Entire Contract</t>
  </si>
  <si>
    <t>Other Commercial Transactions - Leasing, Borrowing and Operational Leasing for More Than 24 Months</t>
  </si>
  <si>
    <t>Other Commercial Transactions</t>
  </si>
  <si>
    <t>CFR</t>
  </si>
  <si>
    <t xml:space="preserve">	Cost and Freight</t>
  </si>
  <si>
    <t>CIF</t>
  </si>
  <si>
    <t>Cost, Insurance and Freight</t>
  </si>
  <si>
    <t>CIP</t>
  </si>
  <si>
    <t>Carriage and Insurance Paid To</t>
  </si>
  <si>
    <t>CPT</t>
  </si>
  <si>
    <t>Carriage Paid To</t>
  </si>
  <si>
    <t>DAF</t>
  </si>
  <si>
    <t xml:space="preserve">	Delivered At Frontier</t>
  </si>
  <si>
    <t>DAP</t>
  </si>
  <si>
    <t xml:space="preserve">	Delivered At Place</t>
  </si>
  <si>
    <t>DAT</t>
  </si>
  <si>
    <t xml:space="preserve">	Delivered At Terminal</t>
  </si>
  <si>
    <t>DDP</t>
  </si>
  <si>
    <t xml:space="preserve">	Delivered Duty Paid</t>
  </si>
  <si>
    <t>DDU</t>
  </si>
  <si>
    <t xml:space="preserve">	Delivered Duty Unpaid</t>
  </si>
  <si>
    <t>DEQ</t>
  </si>
  <si>
    <t>Delivered Ex Quay (Duty Paid)</t>
  </si>
  <si>
    <t>DES</t>
  </si>
  <si>
    <t>Delivered Ex Ship</t>
  </si>
  <si>
    <t>EXW</t>
  </si>
  <si>
    <t>Ex Works</t>
  </si>
  <si>
    <t>FAS</t>
  </si>
  <si>
    <t>Free Alongside Ship</t>
  </si>
  <si>
    <t>FCA</t>
  </si>
  <si>
    <t>Free CARRIER</t>
  </si>
  <si>
    <t>FOB</t>
  </si>
  <si>
    <t>Free on Board</t>
  </si>
  <si>
    <t>Delivery Terms</t>
  </si>
  <si>
    <t>Delivery_Terms_Code</t>
  </si>
  <si>
    <t>Cash Against Goods</t>
  </si>
  <si>
    <t>Cash Payment</t>
  </si>
  <si>
    <t>Cash Against Documents</t>
  </si>
  <si>
    <t>Cash Payment (In Paper)</t>
  </si>
  <si>
    <t>Deferred Payment Credit</t>
  </si>
  <si>
    <t>Free of Charge</t>
  </si>
  <si>
    <t>Private Barter</t>
  </si>
  <si>
    <t>Letter of Credit</t>
  </si>
  <si>
    <t>Counter Purchase</t>
  </si>
  <si>
    <t>Acceptance Credit L/C</t>
  </si>
  <si>
    <t>Acceptance Credit Against Documents</t>
  </si>
  <si>
    <t>Acceptance Credit Against Goods</t>
  </si>
  <si>
    <t>Special Account</t>
  </si>
  <si>
    <t>Transaction Type</t>
  </si>
  <si>
    <t>Transaction_Type_Code</t>
  </si>
  <si>
    <t>Payment Type</t>
  </si>
  <si>
    <t>Payment_Type_Code</t>
  </si>
  <si>
    <t>F01</t>
  </si>
  <si>
    <t>F02</t>
  </si>
  <si>
    <t>F03</t>
  </si>
  <si>
    <t>F04</t>
  </si>
  <si>
    <t>F05</t>
  </si>
  <si>
    <t>F06</t>
  </si>
  <si>
    <t>F07</t>
  </si>
  <si>
    <t>F09</t>
  </si>
  <si>
    <t>F10</t>
  </si>
  <si>
    <t>F11</t>
  </si>
  <si>
    <t>F12</t>
  </si>
  <si>
    <t>F13</t>
  </si>
  <si>
    <t>F14</t>
  </si>
  <si>
    <t>F15</t>
  </si>
  <si>
    <t>F16</t>
  </si>
  <si>
    <t>F17</t>
  </si>
  <si>
    <t>F18</t>
  </si>
  <si>
    <t>F19</t>
  </si>
  <si>
    <t>F20</t>
  </si>
  <si>
    <t>S11</t>
  </si>
  <si>
    <t>S12</t>
  </si>
  <si>
    <t>S13</t>
  </si>
  <si>
    <t>S41</t>
  </si>
  <si>
    <t>001</t>
  </si>
  <si>
    <t>003</t>
  </si>
  <si>
    <t>004</t>
  </si>
  <si>
    <t>005</t>
  </si>
  <si>
    <t>006</t>
  </si>
  <si>
    <t>007</t>
  </si>
  <si>
    <t>008</t>
  </si>
  <si>
    <t>009</t>
  </si>
  <si>
    <t>010</t>
  </si>
  <si>
    <t>011</t>
  </si>
  <si>
    <t>017</t>
  </si>
  <si>
    <t>018</t>
  </si>
  <si>
    <t>024</t>
  </si>
  <si>
    <t>028</t>
  </si>
  <si>
    <t>063</t>
  </si>
  <si>
    <t>064</t>
  </si>
  <si>
    <t>ANTALYA FREE ZONE</t>
  </si>
  <si>
    <t>AHL FREE ZONE</t>
  </si>
  <si>
    <t>İstanbul Industry and Trade FREE ZONE</t>
  </si>
  <si>
    <t>EGE FREE ZONE</t>
  </si>
  <si>
    <t>MERSİN FREE ZONE</t>
  </si>
  <si>
    <t>TRAKYA FREE ZONE</t>
  </si>
  <si>
    <t>TRABZON FREE ZONE</t>
  </si>
  <si>
    <t>MARDİN FREE ZONE</t>
  </si>
  <si>
    <t>RİZE FREE ZONE</t>
  </si>
  <si>
    <t>SAMSUN FREE ZONE</t>
  </si>
  <si>
    <t>KAYSERİ FREE ZONE</t>
  </si>
  <si>
    <t>AVRUPA FREE ZONE</t>
  </si>
  <si>
    <t>GAZİANTEP FREE ZONE</t>
  </si>
  <si>
    <t>İzmir FREE ZONE</t>
  </si>
  <si>
    <t>BURSA FREE ZONE</t>
  </si>
  <si>
    <t>ADANA YUMURTALIK FREE ZONE</t>
  </si>
  <si>
    <t>TÜBİTAK MAM TEKNOLOJİ FREE ZONE</t>
  </si>
  <si>
    <t>KOCAELİ FREE ZONE</t>
  </si>
  <si>
    <t>DENİZLİ FREE ZONE</t>
  </si>
  <si>
    <t>ESENDERE BORDER TRADE CENTER</t>
  </si>
  <si>
    <t>KAPIKÖY BORDER TRADE CENTER</t>
  </si>
  <si>
    <t>SARISU BORDER TRADE CENTER</t>
  </si>
  <si>
    <t>DİLUCU BORDER TRADE CENTER</t>
  </si>
  <si>
    <t>FRANCE</t>
  </si>
  <si>
    <t>NETHERLANDS</t>
  </si>
  <si>
    <t>GERMANY</t>
  </si>
  <si>
    <t>ITALY</t>
  </si>
  <si>
    <t>UNITED KINGDOM</t>
  </si>
  <si>
    <t>IRELAND</t>
  </si>
  <si>
    <t>DENMARK</t>
  </si>
  <si>
    <t>GREECE</t>
  </si>
  <si>
    <t>PORTUGAL</t>
  </si>
  <si>
    <t>SPAIN</t>
  </si>
  <si>
    <t>BELGIUM</t>
  </si>
  <si>
    <t>LUXEMBURG</t>
  </si>
  <si>
    <t>ICELAND</t>
  </si>
  <si>
    <t>NORWAY</t>
  </si>
  <si>
    <t>SLOVAKIA</t>
  </si>
  <si>
    <t>HUNGARY</t>
  </si>
  <si>
    <t>Country Trade</t>
  </si>
  <si>
    <t>Country_Trade_Code</t>
  </si>
  <si>
    <t>1</t>
  </si>
  <si>
    <t>4</t>
  </si>
  <si>
    <t>6</t>
  </si>
  <si>
    <t>7</t>
  </si>
  <si>
    <t>11</t>
  </si>
  <si>
    <t>12</t>
  </si>
  <si>
    <t>13</t>
  </si>
  <si>
    <t>14</t>
  </si>
  <si>
    <t>15</t>
  </si>
  <si>
    <t>16</t>
  </si>
  <si>
    <t>17</t>
  </si>
  <si>
    <t>19</t>
  </si>
  <si>
    <t>21</t>
  </si>
  <si>
    <t>22</t>
  </si>
  <si>
    <t>23</t>
  </si>
  <si>
    <t>29</t>
  </si>
  <si>
    <t>99</t>
  </si>
  <si>
    <t>91</t>
  </si>
  <si>
    <t>80</t>
  </si>
  <si>
    <t>70</t>
  </si>
  <si>
    <t>67</t>
  </si>
  <si>
    <t>66</t>
  </si>
  <si>
    <t>65</t>
  </si>
  <si>
    <t>64</t>
  </si>
  <si>
    <t>63</t>
  </si>
  <si>
    <t>62</t>
  </si>
  <si>
    <t>61</t>
  </si>
  <si>
    <t>60</t>
  </si>
  <si>
    <t>52</t>
  </si>
  <si>
    <t>51</t>
  </si>
  <si>
    <t>42</t>
  </si>
  <si>
    <t>41</t>
  </si>
  <si>
    <t>33</t>
  </si>
  <si>
    <t>32</t>
  </si>
  <si>
    <t>31</t>
  </si>
  <si>
    <t>Detailed Goods Description</t>
  </si>
  <si>
    <t/>
  </si>
  <si>
    <t>HS CODE</t>
  </si>
  <si>
    <t>GOODS DESCRIPTION</t>
  </si>
  <si>
    <t>QUANTITY 1</t>
  </si>
  <si>
    <t>QUANTITY 2</t>
  </si>
  <si>
    <t>SENSITIVE GOODS QUANTITY</t>
  </si>
  <si>
    <t>SENSITIVE GOODS CODE</t>
  </si>
  <si>
    <t>INVOICE VALUE</t>
  </si>
  <si>
    <t>CURRENCY</t>
  </si>
  <si>
    <t>NET WEIGHT</t>
  </si>
  <si>
    <t>GROSS WEIGHT</t>
  </si>
  <si>
    <t>CONSIGNOR TIN</t>
  </si>
  <si>
    <t>CONSIGNOR COUNTRY</t>
  </si>
  <si>
    <t>SENDER/CONSIGNOR NAME</t>
  </si>
  <si>
    <t>SENDER/CONSIGNOR ADDRESS</t>
  </si>
  <si>
    <t>SENDER/CONSIGNOR CITY</t>
  </si>
  <si>
    <t>CONSIGNOR POSTAL CODE</t>
  </si>
  <si>
    <t>CONSIGNEE TIN</t>
  </si>
  <si>
    <t>CONSIGNEE COUNTRY</t>
  </si>
  <si>
    <t>CONSIGNEE NAME</t>
  </si>
  <si>
    <t>CONSIGNEE ADDRESS</t>
  </si>
  <si>
    <t>CONSIGNEE CITY</t>
  </si>
  <si>
    <t>CONSIGNEE POSTAL CODE</t>
  </si>
  <si>
    <t>Packages_1</t>
  </si>
  <si>
    <t>Previous Documents_1</t>
  </si>
  <si>
    <t>Previous Document Type</t>
  </si>
  <si>
    <t>Additional Information_1</t>
  </si>
  <si>
    <t>Export/Entrepot Declaration Dischargings_1</t>
  </si>
  <si>
    <t>Discharging Type</t>
  </si>
  <si>
    <t>Export/Entrepôt Declaration ID</t>
  </si>
  <si>
    <t>Discharging Item Quantity</t>
  </si>
  <si>
    <t>Discharging Item Number/Line</t>
  </si>
  <si>
    <t>Explanation</t>
  </si>
  <si>
    <t>Is it a partial discharge?</t>
  </si>
  <si>
    <t>Value</t>
  </si>
  <si>
    <t>Currency code</t>
  </si>
  <si>
    <t>Code of the delivery terms</t>
  </si>
  <si>
    <t>Code of the payment type</t>
  </si>
  <si>
    <t>Code of the transaction type</t>
  </si>
  <si>
    <t>Code of the country of trade</t>
  </si>
  <si>
    <t>C512</t>
  </si>
  <si>
    <t>C605</t>
  </si>
  <si>
    <t>C612</t>
  </si>
  <si>
    <t>C620</t>
  </si>
  <si>
    <t>C651</t>
  </si>
  <si>
    <t>C658</t>
  </si>
  <si>
    <t>C710</t>
  </si>
  <si>
    <t>N235</t>
  </si>
  <si>
    <t>N270</t>
  </si>
  <si>
    <t>N271</t>
  </si>
  <si>
    <t>N325</t>
  </si>
  <si>
    <t>N337</t>
  </si>
  <si>
    <t>N355</t>
  </si>
  <si>
    <t>N380</t>
  </si>
  <si>
    <t>N703</t>
  </si>
  <si>
    <t>N704</t>
  </si>
  <si>
    <t>N705</t>
  </si>
  <si>
    <t>N714</t>
  </si>
  <si>
    <t>N720</t>
  </si>
  <si>
    <t>N722</t>
  </si>
  <si>
    <t>N730</t>
  </si>
  <si>
    <t>N740</t>
  </si>
  <si>
    <t>N741</t>
  </si>
  <si>
    <t>N750</t>
  </si>
  <si>
    <t>N760</t>
  </si>
  <si>
    <t>N785</t>
  </si>
  <si>
    <t>N787</t>
  </si>
  <si>
    <t>N820</t>
  </si>
  <si>
    <t>N821</t>
  </si>
  <si>
    <t>N822</t>
  </si>
  <si>
    <t>N825</t>
  </si>
  <si>
    <t>N830</t>
  </si>
  <si>
    <t>N952</t>
  </si>
  <si>
    <t>N955</t>
  </si>
  <si>
    <t>NCLE</t>
  </si>
  <si>
    <t>NMNS</t>
  </si>
  <si>
    <t>NMRN</t>
  </si>
  <si>
    <t>SDE - Authorisation to use simplified declaration (Column 7a, Annex A of Delegated Regulation (EU) 2015/2446)</t>
  </si>
  <si>
    <t>Internal Community transit Declaration — Article 227 of the Code</t>
  </si>
  <si>
    <t>Proof of the customs status of Union goods T2LF</t>
  </si>
  <si>
    <t>AAD - Administrative Accompanying Document (EMCS)</t>
  </si>
  <si>
    <t>FAD - Fallback e-AD (EMCS)</t>
  </si>
  <si>
    <t>Information sheet</t>
  </si>
  <si>
    <t>Delivery note</t>
  </si>
  <si>
    <t>Temporary storage declaration</t>
  </si>
  <si>
    <t>House bill of lading</t>
  </si>
  <si>
    <t>Consignment note CIM</t>
  </si>
  <si>
    <t>Movement by post including parcel post</t>
  </si>
  <si>
    <t>Bordereau (cargo load list)</t>
  </si>
  <si>
    <t>Transit declaration "T"</t>
  </si>
  <si>
    <t>External Community transit declaration / common transit, T1</t>
  </si>
  <si>
    <t>Internal Community transit declaration T2</t>
  </si>
  <si>
    <t>T2L document</t>
  </si>
  <si>
    <t>Goods declaration for exportation</t>
  </si>
  <si>
    <t>Reference/date of entry in the declarant's records</t>
  </si>
  <si>
    <t>Cargo manifest — simplified procedure</t>
  </si>
  <si>
    <t>Declaration / notification MRN</t>
  </si>
  <si>
    <t>Reference</t>
  </si>
  <si>
    <t>Type of Packages</t>
  </si>
  <si>
    <t>Number of Packages</t>
  </si>
  <si>
    <t>Quantity</t>
  </si>
  <si>
    <t>Complementary information</t>
  </si>
  <si>
    <t>O1</t>
  </si>
  <si>
    <t>O2</t>
  </si>
  <si>
    <t>O3</t>
  </si>
  <si>
    <t>O4</t>
  </si>
  <si>
    <t>O5</t>
  </si>
  <si>
    <t>O6</t>
  </si>
  <si>
    <t>O7</t>
  </si>
  <si>
    <t>O8</t>
  </si>
  <si>
    <t>O9</t>
  </si>
  <si>
    <t>OG</t>
  </si>
  <si>
    <t>OH</t>
  </si>
  <si>
    <t>OI</t>
  </si>
  <si>
    <t>OJ</t>
  </si>
  <si>
    <t>OL</t>
  </si>
  <si>
    <t>ON</t>
  </si>
  <si>
    <t>OP</t>
  </si>
  <si>
    <t>OQ</t>
  </si>
  <si>
    <t>OR</t>
  </si>
  <si>
    <t>OS</t>
  </si>
  <si>
    <t>OV</t>
  </si>
  <si>
    <t>OW</t>
  </si>
  <si>
    <t>OX</t>
  </si>
  <si>
    <t>OY</t>
  </si>
  <si>
    <t>OZ</t>
  </si>
  <si>
    <t>P1</t>
  </si>
  <si>
    <t>P3</t>
  </si>
  <si>
    <t>P4</t>
  </si>
  <si>
    <t>Two sided cage on wheels with fixing strap</t>
  </si>
  <si>
    <t>Trolley</t>
  </si>
  <si>
    <t>Oneway pallet ISO 0 - 1/2 EURO Pallet</t>
  </si>
  <si>
    <t>Oneway pallet ISO 1 - 1/1 EURO Pallet</t>
  </si>
  <si>
    <t>Oneway pallet ISO 2 - 2/1 EURO Pallet</t>
  </si>
  <si>
    <t>Pallet with exceptional dimensions</t>
  </si>
  <si>
    <t>Wooden pallet 40 cm x 80 cm</t>
  </si>
  <si>
    <t>Plastic pallet SRS 60 cm x 80 cm</t>
  </si>
  <si>
    <t>Plastic pallet SRS 80 cm x 120 cm</t>
  </si>
  <si>
    <t>Pallet ISO 0 - 1/2 EURO Pallet</t>
  </si>
  <si>
    <t>Pallet ISO 1 - 1/1 EURO Pallet</t>
  </si>
  <si>
    <t>Pallet ISO 2 – 2/1 EURO Pallet</t>
  </si>
  <si>
    <t>1/4 EURO Pallet</t>
  </si>
  <si>
    <t>1/8 EURO Pallet</t>
  </si>
  <si>
    <t>Synthetic pallet ISO 1</t>
  </si>
  <si>
    <t>Synthetic pallet ISO 2</t>
  </si>
  <si>
    <t>Wholesaler pallet</t>
  </si>
  <si>
    <t>Pallet 80 X 100 cm</t>
  </si>
  <si>
    <t>Pallet 60 X 100 cm</t>
  </si>
  <si>
    <t>Oneway pallet</t>
  </si>
  <si>
    <t>Returnable pallet</t>
  </si>
  <si>
    <t>Large bag, pallet sized</t>
  </si>
  <si>
    <t>A wheeled pallet with raised rim (81 x 67 x 135)</t>
  </si>
  <si>
    <t>A Wheeled pallet with raised rim (81 x 72 x 135)</t>
  </si>
  <si>
    <t>Wheeled pallet with raised rim ( 81 x 60 x 16)</t>
  </si>
  <si>
    <t>CHEP pallet 60 cm x 80 cm</t>
  </si>
  <si>
    <t>LPR pallet 60 cm x 80 cm</t>
  </si>
  <si>
    <t>LPR pallet 80 cm x 120 cm</t>
  </si>
  <si>
    <t>AJ</t>
  </si>
  <si>
    <t>Cone</t>
  </si>
  <si>
    <t>Ampoule, non-protected</t>
  </si>
  <si>
    <t>AP</t>
  </si>
  <si>
    <t>Ampoule, protected</t>
  </si>
  <si>
    <t>Atomizer</t>
  </si>
  <si>
    <t>AV</t>
  </si>
  <si>
    <t>Capsule</t>
  </si>
  <si>
    <t>Barrel</t>
  </si>
  <si>
    <t>Bobbin</t>
  </si>
  <si>
    <t>BC</t>
  </si>
  <si>
    <t>Bottle crate, bottle rack</t>
  </si>
  <si>
    <t>Board</t>
  </si>
  <si>
    <t>Bundle</t>
  </si>
  <si>
    <t>Balloon, non-protected</t>
  </si>
  <si>
    <t>Bag</t>
  </si>
  <si>
    <t>Bunch</t>
  </si>
  <si>
    <t>Bin</t>
  </si>
  <si>
    <t>Bucket</t>
  </si>
  <si>
    <t>Measure Unit</t>
  </si>
  <si>
    <t>Measure_Unit_Code</t>
  </si>
  <si>
    <t>ASV</t>
  </si>
  <si>
    <t>ASVX</t>
  </si>
  <si>
    <t>CCT</t>
  </si>
  <si>
    <t>CEN</t>
  </si>
  <si>
    <t>CTM</t>
  </si>
  <si>
    <t>DHS</t>
  </si>
  <si>
    <t>DTN</t>
  </si>
  <si>
    <t>DTNE</t>
  </si>
  <si>
    <t>DTNF</t>
  </si>
  <si>
    <t>DTNG</t>
  </si>
  <si>
    <t>DTNL</t>
  </si>
  <si>
    <t>DTNM</t>
  </si>
  <si>
    <t>DTNR</t>
  </si>
  <si>
    <t>DTNS</t>
  </si>
  <si>
    <t>DTNZ</t>
  </si>
  <si>
    <t>EUR</t>
  </si>
  <si>
    <t>GFI</t>
  </si>
  <si>
    <t>GRM</t>
  </si>
  <si>
    <t>GRT</t>
  </si>
  <si>
    <t>HLT</t>
  </si>
  <si>
    <t>HMT</t>
  </si>
  <si>
    <t>KAC</t>
  </si>
  <si>
    <t>KCC</t>
  </si>
  <si>
    <t>KCL</t>
  </si>
  <si>
    <t>KGM</t>
  </si>
  <si>
    <t>KGMA</t>
  </si>
  <si>
    <t>KGME</t>
  </si>
  <si>
    <t>KGMG</t>
  </si>
  <si>
    <t>KGMP</t>
  </si>
  <si>
    <t>KGMS</t>
  </si>
  <si>
    <t>KGMT</t>
  </si>
  <si>
    <t>KLT</t>
  </si>
  <si>
    <t>KMA</t>
  </si>
  <si>
    <t>KMT</t>
  </si>
  <si>
    <t>KNI</t>
  </si>
  <si>
    <t>KNS</t>
  </si>
  <si>
    <t>KPH</t>
  </si>
  <si>
    <t>KPO</t>
  </si>
  <si>
    <t>%vol</t>
  </si>
  <si>
    <t>%vol per hectolitre</t>
  </si>
  <si>
    <t>Carrying capacity in metric tonnes</t>
  </si>
  <si>
    <t>Hundred items</t>
  </si>
  <si>
    <t>Carats (one metric carat = 2 x 10-4kg)</t>
  </si>
  <si>
    <t>Decatonne, corrected according to polarisation</t>
  </si>
  <si>
    <t>Kilogram of dihydrostreptomycin</t>
  </si>
  <si>
    <t>Hectokilogram</t>
  </si>
  <si>
    <t>Hectokilogram of drained net weight</t>
  </si>
  <si>
    <t>Hectokilogram of common wheat</t>
  </si>
  <si>
    <t>Hectokilogram , gross</t>
  </si>
  <si>
    <t>Hectokilogram of live weight</t>
  </si>
  <si>
    <t>Hectokilogram net of dry matter</t>
  </si>
  <si>
    <t>Hectokilogram of the standard quality</t>
  </si>
  <si>
    <t>Hectokilogram of sugar with a yield in white sugar of 92%</t>
  </si>
  <si>
    <t>Hectokilogram per 1% by weight of sucrose</t>
  </si>
  <si>
    <t>Euro (used for statistical surveillance)</t>
  </si>
  <si>
    <t>Gram of fissile isotopes</t>
  </si>
  <si>
    <t>Gram</t>
  </si>
  <si>
    <t>Gross tonnage</t>
  </si>
  <si>
    <t>Hectolitre</t>
  </si>
  <si>
    <t>Hectometre</t>
  </si>
  <si>
    <t>Kilogram net of acesulfame potassium</t>
  </si>
  <si>
    <t>Kilogram of choline chloride</t>
  </si>
  <si>
    <t>Tonne of potassium chloride</t>
  </si>
  <si>
    <t>Kilogram</t>
  </si>
  <si>
    <t>Kilogram total alcohol</t>
  </si>
  <si>
    <t>Kilogram of drained net weight</t>
  </si>
  <si>
    <t>Kilogram , gross</t>
  </si>
  <si>
    <t>Kilogram of lactic matter</t>
  </si>
  <si>
    <t>Kilogram of sugar with a yield in white sugar of 92%</t>
  </si>
  <si>
    <t>Kilogram of dry lactic matter</t>
  </si>
  <si>
    <t>1000 litres</t>
  </si>
  <si>
    <t>Kilogram of methylamines</t>
  </si>
  <si>
    <t>Kilometre</t>
  </si>
  <si>
    <t>Kilogram of nitrogen</t>
  </si>
  <si>
    <t>Kilogram of hydrogen peroxide</t>
  </si>
  <si>
    <t>Kilogram of potassium hydroxide (caustic potash)</t>
  </si>
  <si>
    <t>Kilogram of potassium oxide</t>
  </si>
  <si>
    <t>L001</t>
  </si>
  <si>
    <t>N852</t>
  </si>
  <si>
    <t>N018</t>
  </si>
  <si>
    <t>N933</t>
  </si>
  <si>
    <t>C673</t>
  </si>
  <si>
    <t>N865</t>
  </si>
  <si>
    <t>N003</t>
  </si>
  <si>
    <t>C640</t>
  </si>
  <si>
    <t>C678</t>
  </si>
  <si>
    <t>N853</t>
  </si>
  <si>
    <t>C085</t>
  </si>
  <si>
    <t>N862</t>
  </si>
  <si>
    <t>C641</t>
  </si>
  <si>
    <t>NZZZ</t>
  </si>
  <si>
    <t>N941</t>
  </si>
  <si>
    <t>Y986</t>
  </si>
  <si>
    <t>C690</t>
  </si>
  <si>
    <t>Y955</t>
  </si>
  <si>
    <t>Y956</t>
  </si>
  <si>
    <t>Y976</t>
  </si>
  <si>
    <t>N911</t>
  </si>
  <si>
    <t>L116</t>
  </si>
  <si>
    <t>L100</t>
  </si>
  <si>
    <t>N954</t>
  </si>
  <si>
    <t>N002</t>
  </si>
  <si>
    <t>N851</t>
  </si>
  <si>
    <t>N864</t>
  </si>
  <si>
    <t>L079</t>
  </si>
  <si>
    <t>N951</t>
  </si>
  <si>
    <t>Y125</t>
  </si>
  <si>
    <t>Y120</t>
  </si>
  <si>
    <t>Y124</t>
  </si>
  <si>
    <t>Y123</t>
  </si>
  <si>
    <t>N861</t>
  </si>
  <si>
    <t>Accompanying administrative document</t>
  </si>
  <si>
    <t>AGRIM Import Certificate</t>
  </si>
  <si>
    <t>Analysis and health certificate</t>
  </si>
  <si>
    <t>ATR certificate</t>
  </si>
  <si>
    <t>Cargo declaration (arrival)</t>
  </si>
  <si>
    <t>Catch certificate</t>
  </si>
  <si>
    <t>Certificate of origin Form A</t>
  </si>
  <si>
    <t>Certificate of quality</t>
  </si>
  <si>
    <t>CHED-A</t>
  </si>
  <si>
    <t>CHED - D</t>
  </si>
  <si>
    <t>CHED-P</t>
  </si>
  <si>
    <t>CHED-PP</t>
  </si>
  <si>
    <t>Declaration of origin</t>
  </si>
  <si>
    <t>Dissostichus - Capture, import document</t>
  </si>
  <si>
    <t>Document equivalent to ‘ZZZ’ defined in Commission Delegated Regulation (EU) 2016/341 (Appendix D2: Additional codes for the computerised transit system)</t>
  </si>
  <si>
    <t>Embargo permit</t>
  </si>
  <si>
    <t>Fallback Accompanying Document for movements of excise goods under suspension of excise duty (FAD), as referred to in Article 8(1) Reg. (EC) No 684/2009</t>
  </si>
  <si>
    <t>FLEGT wood import license</t>
  </si>
  <si>
    <t>Goods other than those falling under the registration obligation defined in Article 1.2 of Regulation (EU) 1191/2014 as amended by Commission Implementing Regulation (EU) 2017/1375</t>
  </si>
  <si>
    <t>Import licence</t>
  </si>
  <si>
    <t>Kimberley Process Certificate</t>
  </si>
  <si>
    <t>Import licence "controlled substances" (ozone), issued by the Commission</t>
  </si>
  <si>
    <t>Movement certificate EUR.1</t>
  </si>
  <si>
    <t>Certificate of conformity with the European Union marketing standards for fresh fruit and vegetables</t>
  </si>
  <si>
    <t>Preference certificate of origin</t>
  </si>
  <si>
    <t>Textile products: import certificate</t>
  </si>
  <si>
    <t>TIF form</t>
  </si>
  <si>
    <t>Undertaking importing smaller amount of fluorinated greenhouse gases per year than that specified in Article 19.1 for bulk imports and 19.4 for products and equipment imports, and therefore not covered by the registration requirement according to Art. 19.1 and 19.4 of Regulation (EU) No 517/2014, and Article 1.2 of Commission Implementing...</t>
  </si>
  <si>
    <t>Undertaking registered according to Art. 19 of Regulation (EU) No 517/2014, and Article 1.2 of Commission Implementing Regulation (EU) 1191/2014 as amended by Commission Implementing Regulation (EU) 2017/1375</t>
  </si>
  <si>
    <t>Universal certificate of origin</t>
  </si>
  <si>
    <t>Exemption from import prohibition according to articles 11.1 and 11.2 of Regulation (EU) No 517/2014</t>
  </si>
  <si>
    <t>Goods other than those falling under the import prohibitions defined in article 7.2 of Regulation (EU) No 517/2014</t>
  </si>
  <si>
    <t>Goods other than those falling under the reduction of the quantity of hydrofluorocarbons placed on the EU market defined in article 15 of Regulation (EU) No 517/2014</t>
  </si>
  <si>
    <t>Undertaking importing less than 100 tonnes of CO2 equivalent of hydrofluorocarbons per year and exempted from the reduction of the quantity of hydrofluorocarbons placed on the EU market according to article 15.2 first sub paragraph of Regulation (EU) No 517/2014</t>
  </si>
  <si>
    <t>Complementary Information</t>
  </si>
  <si>
    <t>Supporting Documents_1</t>
  </si>
  <si>
    <t>Supporting Document Type</t>
  </si>
  <si>
    <t>Transport Document</t>
  </si>
  <si>
    <t>Transport_Document_Code</t>
  </si>
  <si>
    <t>Master airwaybill</t>
  </si>
  <si>
    <t xml:space="preserve">Movement by post including parcel post </t>
  </si>
  <si>
    <t>Multimodal / combined transport document</t>
  </si>
  <si>
    <t>Road list - SMGS</t>
  </si>
  <si>
    <t>TIR Carnet</t>
  </si>
  <si>
    <t>Transport Document Type</t>
  </si>
  <si>
    <t>Transport Documents_1</t>
  </si>
  <si>
    <t>Additional Reference Type</t>
  </si>
  <si>
    <t>Additional References_1</t>
  </si>
  <si>
    <t>Additional Reference</t>
  </si>
  <si>
    <t>Additional_Reference_Code</t>
  </si>
  <si>
    <t>Additional Information</t>
  </si>
  <si>
    <t>Additional Information Id</t>
  </si>
  <si>
    <t>20300</t>
  </si>
  <si>
    <t>20200</t>
  </si>
  <si>
    <t>20100</t>
  </si>
  <si>
    <t>30600</t>
  </si>
  <si>
    <t>Export</t>
  </si>
  <si>
    <t>Export from one EFTA country subject to duties or export from the Union subject to duties</t>
  </si>
  <si>
    <t>Export from one EFTA country subject to restriction or export from the Union subject to restriction</t>
  </si>
  <si>
    <t>In EXS, where negotiable bills of lading to order blank endorsed are concerned and the consignee particulars are unknown.</t>
  </si>
  <si>
    <t>UCR</t>
  </si>
  <si>
    <t>CUS code</t>
  </si>
  <si>
    <t>Seals</t>
  </si>
  <si>
    <t xml:space="preserve">
Container ID</t>
  </si>
  <si>
    <t>Country Despatch Destination</t>
  </si>
  <si>
    <t>Country of Despatch</t>
  </si>
  <si>
    <t>Country of Destination</t>
  </si>
  <si>
    <t>Measurement Unit and Qualifier</t>
  </si>
  <si>
    <t>No. of Packages</t>
  </si>
  <si>
    <t>Shipping Marks</t>
  </si>
  <si>
    <t>Package Type</t>
  </si>
  <si>
    <t>Transport Equipments_1</t>
  </si>
  <si>
    <t>DOP</t>
  </si>
  <si>
    <t>Dominican Peso</t>
  </si>
  <si>
    <t>Equatorial Guinea, CFA Franc BEAC</t>
  </si>
  <si>
    <t>SVC</t>
  </si>
  <si>
    <t>El Salvador Colon</t>
  </si>
  <si>
    <t>IDR</t>
  </si>
  <si>
    <t>Rupiah</t>
  </si>
  <si>
    <t>ERN</t>
  </si>
  <si>
    <t xml:space="preserve">Nakfa </t>
  </si>
  <si>
    <t>AMD</t>
  </si>
  <si>
    <t>Armenian Dram</t>
  </si>
  <si>
    <t>ETB</t>
  </si>
  <si>
    <t>Ethiopian Birr</t>
  </si>
  <si>
    <t>Euro</t>
  </si>
  <si>
    <t>FKP</t>
  </si>
  <si>
    <t>Falkland Islands Pound</t>
  </si>
  <si>
    <t>MAD</t>
  </si>
  <si>
    <t>Moroccan Dirham</t>
  </si>
  <si>
    <t>FJD</t>
  </si>
  <si>
    <t>Fiji Dollar</t>
  </si>
  <si>
    <t>Cote D'Ivoire, CFA Franc BCEAO</t>
  </si>
  <si>
    <t>PHP</t>
  </si>
  <si>
    <t>Philippine Peso</t>
  </si>
  <si>
    <t>CFP Franc</t>
  </si>
  <si>
    <t>Gabon, CFA Franc BEAC</t>
  </si>
  <si>
    <t>GMD</t>
  </si>
  <si>
    <t>Gambian Dalasi</t>
  </si>
  <si>
    <t>Export Good Item No</t>
  </si>
  <si>
    <t>Country</t>
  </si>
  <si>
    <t>Canada</t>
  </si>
  <si>
    <t>Cocos (Keeling) Is</t>
  </si>
  <si>
    <t>Congo Dem Rep</t>
  </si>
  <si>
    <t>Central African Rep</t>
  </si>
  <si>
    <t>Congo</t>
  </si>
  <si>
    <t>Swiss</t>
  </si>
  <si>
    <t>Côte d'Ivoire</t>
  </si>
  <si>
    <t>Cook Is</t>
  </si>
  <si>
    <t>Chile</t>
  </si>
  <si>
    <t>Cameroon</t>
  </si>
  <si>
    <t>China</t>
  </si>
  <si>
    <t>Colombia</t>
  </si>
  <si>
    <t>Costa Rica</t>
  </si>
  <si>
    <t>Cuba</t>
  </si>
  <si>
    <t>Cape Verde</t>
  </si>
  <si>
    <t>Christmas Island</t>
  </si>
  <si>
    <t>Cypriot</t>
  </si>
  <si>
    <t>Year or Date</t>
  </si>
  <si>
    <t>Supplementary Units</t>
  </si>
  <si>
    <t>Quantity Unit</t>
  </si>
  <si>
    <t>FSA</t>
  </si>
  <si>
    <t>This is used for dutyfree movements.</t>
  </si>
  <si>
    <t>This used for Post and Telegraph Organization.</t>
  </si>
  <si>
    <t>PTT</t>
  </si>
  <si>
    <t>CONSIGNOR EORI</t>
  </si>
  <si>
    <t>CONSIGNEE EORI</t>
  </si>
  <si>
    <t>Exit Disposition</t>
  </si>
  <si>
    <t>DIZP</t>
  </si>
  <si>
    <t>Bonaire, Sint Eustatius and Saba</t>
  </si>
  <si>
    <t>Curaçao</t>
  </si>
  <si>
    <t>EU</t>
  </si>
  <si>
    <t>European Union</t>
  </si>
  <si>
    <t>South Sudan</t>
  </si>
  <si>
    <t>Sint Maarten (Dutch part)</t>
  </si>
  <si>
    <t>Ceuta</t>
  </si>
  <si>
    <t>XI</t>
  </si>
  <si>
    <t>United Kingdom (Northern Ireland)</t>
  </si>
  <si>
    <t>XL</t>
  </si>
  <si>
    <t>Melilla</t>
  </si>
  <si>
    <t>BUYER NAME</t>
  </si>
  <si>
    <t>BUYER TYPE</t>
  </si>
  <si>
    <t>BUYER EORI</t>
  </si>
  <si>
    <t>BUYER TIN</t>
  </si>
  <si>
    <t>BUYER ADDRESS</t>
  </si>
  <si>
    <t>BUYER COUNTRY</t>
  </si>
  <si>
    <t>BUYER CITY</t>
  </si>
  <si>
    <t>BUYER POSTAL CODE</t>
  </si>
  <si>
    <t>SELLER NAME</t>
  </si>
  <si>
    <t>SELLER TYPE</t>
  </si>
  <si>
    <t>SELLER EORI</t>
  </si>
  <si>
    <t>SELLER TIN</t>
  </si>
  <si>
    <t>SELLER ADDRESS</t>
  </si>
  <si>
    <t>SELLER COUNTRY</t>
  </si>
  <si>
    <t>SELLER CITY</t>
  </si>
  <si>
    <t>SELLER POSTAL CODE</t>
  </si>
  <si>
    <t>Buyer And Seller</t>
  </si>
  <si>
    <t>Buyer/Seller Person Type</t>
  </si>
  <si>
    <t>Person_Type_Code</t>
  </si>
  <si>
    <t>Natural person</t>
  </si>
  <si>
    <t>Legal person</t>
  </si>
  <si>
    <t>Association of persons</t>
  </si>
  <si>
    <t>T2</t>
  </si>
  <si>
    <t>Declaration Type</t>
  </si>
  <si>
    <t>Declaration_Type_Code</t>
  </si>
  <si>
    <t>DECLARATION_TYPE (only for T- declaration)</t>
  </si>
  <si>
    <t>00200</t>
  </si>
  <si>
    <t>Several occurrences of documents and parties</t>
  </si>
  <si>
    <t>00700</t>
  </si>
  <si>
    <t>Discharge of inward processing. IP’ and the relevant authorisation number or INF number</t>
  </si>
  <si>
    <t>00800</t>
  </si>
  <si>
    <t>Discharge of inward processing (specific commercial policy measures)</t>
  </si>
  <si>
    <t>00900</t>
  </si>
  <si>
    <t>Discharge of temporary admission. ‘TA’ and the relevant authorisation number</t>
  </si>
  <si>
    <t>10600</t>
  </si>
  <si>
    <t>Situations where negotiable bills of lading that are "to order blank endorsed" are concerned, in the case of entry summary declarations, where the consignee details are unknown. Consignee unknown</t>
  </si>
  <si>
    <t>10900</t>
  </si>
  <si>
    <t>ENS lodged together with customs declaration for low value consignment</t>
  </si>
  <si>
    <t>C552</t>
  </si>
  <si>
    <t>T2LSM - Proof establishing the status of goods destined for San Marino in application of Article 2 of Decision 4/92 of the EEC-San Marino Cooperation Committee of 22 December 1992</t>
  </si>
  <si>
    <t>C121</t>
  </si>
  <si>
    <t>Certificate certifying that the diamonds are not mined, processed or produced in Russia (Article 3p paragraph 10 of Council Regulation (EU) No 833/2014)</t>
  </si>
  <si>
    <t>C400</t>
  </si>
  <si>
    <t>Presentation of the required "CITES" certificate</t>
  </si>
  <si>
    <t>C402</t>
  </si>
  <si>
    <t>CITES Export permit or Re-export certificate issued by a third country</t>
  </si>
  <si>
    <t>C638</t>
  </si>
  <si>
    <t>CITES Import permit</t>
  </si>
  <si>
    <t>C646</t>
  </si>
  <si>
    <t>Notification of Arrival (NOA) of certain goods entering the Union and to which Articles 47 and 48 of Regulation (EU) 2017/625 do not apply (Commission Delegated Regulation (EU) 2024/2104)</t>
  </si>
  <si>
    <t>C656</t>
  </si>
  <si>
    <t>Dissostichus - Catch document export</t>
  </si>
  <si>
    <t>C716</t>
  </si>
  <si>
    <t>Due diligence statement, presented for imports/exports in accordance with Article 3 of (Regulation (EU) 2023/1115 on deforestation and forest degradation)</t>
  </si>
  <si>
    <t>C717</t>
  </si>
  <si>
    <t>Reference number of due diligence statement previously submitted, in accordance with Article 4.8 of Regulation (EU) 2023/1115</t>
  </si>
  <si>
    <t>X072</t>
  </si>
  <si>
    <t>Transit Licence for dual Use Items - referred to in Article 7 of the Regulation (EU) 2021/821 of the European Parliament and of the Council</t>
  </si>
  <si>
    <t>C625</t>
  </si>
  <si>
    <t>Rhine Manifest</t>
  </si>
  <si>
    <t>C664</t>
  </si>
  <si>
    <t>CN22 declaration according to Article 144 of the Regulation (EU) 2015/2446 (UCC DA)</t>
  </si>
  <si>
    <t>C665</t>
  </si>
  <si>
    <t>CN23 declaration according to Article 144 of the Regulation (EU) 2015/2446 (UCC DA)</t>
  </si>
  <si>
    <t>Y910</t>
  </si>
  <si>
    <t>Bigeye tuna taken by seiners or baitboats and intended mainly for the canning industry in the areas of application of the Agreement for the establishment of the Indian Ocean Tuna Commission (IOTC Agreement) and the ICCAT Convention.</t>
  </si>
  <si>
    <t>Y028</t>
  </si>
  <si>
    <t>Carrier (AEO certificate number)</t>
  </si>
  <si>
    <t>Y023</t>
  </si>
  <si>
    <t>Consignee (AEO certificate number)</t>
  </si>
  <si>
    <t>Y022</t>
  </si>
  <si>
    <t>Consignor / exporter (AEO certificate number)</t>
  </si>
  <si>
    <t>Y117</t>
  </si>
  <si>
    <t>Dangerous product — release for free circulation not authorised — Regulation (EU) 2019/1020, Art. 28(1)</t>
  </si>
  <si>
    <t>Y024</t>
  </si>
  <si>
    <t>Declarant (AEO certificate number)</t>
  </si>
  <si>
    <t>Y903</t>
  </si>
  <si>
    <t>Declared goods are not included in the list of cultural goods</t>
  </si>
  <si>
    <t>Y900</t>
  </si>
  <si>
    <t>Declared goods do not belong to the Washington Convention (CITES)</t>
  </si>
  <si>
    <t>Electronic administrative document (e-AD), as referred to in Article 3(1) of Reg. (EC) No 684/2009</t>
  </si>
  <si>
    <t>Y070</t>
  </si>
  <si>
    <t>Exemption from the requirement of presenting FLEGT licence by virtue of Article 4.3 of Council Regulation (EC) No 2173/2005</t>
  </si>
  <si>
    <t>Y951</t>
  </si>
  <si>
    <t>Exemptions from the Reduction of the quantity of hydrofluorocarbons placed on the market by virtue of Article 15.2 of Regulation (EU) No 517/2014</t>
  </si>
  <si>
    <t>Y932</t>
  </si>
  <si>
    <t>Goods benefitting from a derogation to CITES controls according to Article 7(3) of Council Regulation (EC) No 338/97</t>
  </si>
  <si>
    <t>Y931</t>
  </si>
  <si>
    <t>Goods benefitting from derogation to veterinary controls according to Article 6.1b of Commission Decision (EC) No 275/2007</t>
  </si>
  <si>
    <t>Y054</t>
  </si>
  <si>
    <t>Goods labelled according to the provisions of Article 12 of Regulation (EU) 2024/573</t>
  </si>
  <si>
    <t>Y926</t>
  </si>
  <si>
    <t>Goods not concerned by import prohibition on fluorinated greenhouse gases</t>
  </si>
  <si>
    <t>Y053</t>
  </si>
  <si>
    <t>Goods not concerned by labelling requirements on fluorinated greenhouse gases as referred to Article 12, paragraph 1 of Regulation (EU) No 517/2014</t>
  </si>
  <si>
    <t>Y929</t>
  </si>
  <si>
    <t>Goods not concerned by Regulation (EC) No 834/2007 (organic products)</t>
  </si>
  <si>
    <t>Y924</t>
  </si>
  <si>
    <t>Goods not concerned by Regulation (EU) 2017/852</t>
  </si>
  <si>
    <t>Y057</t>
  </si>
  <si>
    <t>Goods not requiring the presentation of a FLEGT import licence for timber</t>
  </si>
  <si>
    <t>Y950</t>
  </si>
  <si>
    <t>Goods other than pre-charged equipment with hydrofluorocarbons</t>
  </si>
  <si>
    <t>Y902</t>
  </si>
  <si>
    <t>Goods other than those described in the OZ footnotes linked to the measure</t>
  </si>
  <si>
    <t>Y907</t>
  </si>
  <si>
    <t>Goods that will be used by military or civil personnel of a Member State, if such personnel is taking part in an EU or UN peace keeping or crisis management operation in the third country of destination, or in an operation based on agreements between Member States and third countries in the field of defence</t>
  </si>
  <si>
    <t>Y029</t>
  </si>
  <si>
    <t>Other authorised economic operator (AEO certificate number)</t>
  </si>
  <si>
    <t>Y032</t>
  </si>
  <si>
    <t>Other goods than those seal products mentioned in Regulation (EU) 2015/1850 (OJ L 271)</t>
  </si>
  <si>
    <t>Y922</t>
  </si>
  <si>
    <t>Other than cats and dogs fur as mentioned by Regulation (EC) No 1523/2007 (OJ L 343)</t>
  </si>
  <si>
    <t>Y026</t>
  </si>
  <si>
    <t>Principal (AEO certificate number)</t>
  </si>
  <si>
    <t>Y901</t>
  </si>
  <si>
    <t>Product not included in the dual use list</t>
  </si>
  <si>
    <t>Y118</t>
  </si>
  <si>
    <t>Product not in conformity — release for free circulation not authorised — Regulation (EU) 2019/1020, Art. 28(2)</t>
  </si>
  <si>
    <t>Y923</t>
  </si>
  <si>
    <t>Product not subjected to the provisions of Regulation (EC) No 1013/2006 (OJ L 190)</t>
  </si>
  <si>
    <t>Y934</t>
  </si>
  <si>
    <t>Product not subjected to the provisions of Regulation (EU) No 258/2012 for export of firearms, their parts and components and ammunition</t>
  </si>
  <si>
    <t>Y916</t>
  </si>
  <si>
    <t>Product not subjected to the provisions of Regulation (EU) No 649/2012 on the export and import of dangerous chemicals, Annex I</t>
  </si>
  <si>
    <t>Y917</t>
  </si>
  <si>
    <t>Product not subjected to the provisions of Regulation (EU) No 649/2012 on the export and import of dangerous chemicals, Annex V</t>
  </si>
  <si>
    <t>Y062</t>
  </si>
  <si>
    <t>Products which are not containing, consisting of or produced from rice (Commission Implementing Decision 2011/884/EU)</t>
  </si>
  <si>
    <t>Y066</t>
  </si>
  <si>
    <t>Products which are not containing or consisting of betel leaves (‘Piper betle’)</t>
  </si>
  <si>
    <t>Y919</t>
  </si>
  <si>
    <t>Reference Identification Number for chemicals subject to the provisions of Art. 2(3) of Regulation (EU) No 649/2012</t>
  </si>
  <si>
    <t>Y025</t>
  </si>
  <si>
    <t>Representative (AEO certificate number)</t>
  </si>
  <si>
    <t>Y100</t>
  </si>
  <si>
    <t>Special entries on the import licence AGRIM</t>
  </si>
  <si>
    <t>Y930</t>
  </si>
  <si>
    <t>The declared goods are not concerned by Commission Decision 2007/275/EC and Commission Implementing Regulation (EU) 2019/2007</t>
  </si>
  <si>
    <t>Y942</t>
  </si>
  <si>
    <t>The declared goods are not concerned by Commission Implementing Regulation (EU) 2016/1141</t>
  </si>
  <si>
    <t>Y928</t>
  </si>
  <si>
    <t>The declared goods are not concerned by Commission Implementing Regulation (EU) 2019/1787</t>
  </si>
  <si>
    <t>Y937</t>
  </si>
  <si>
    <t>The declared goods are not concerned by Commission Implementing Regulation (EU) 2019/1793</t>
  </si>
  <si>
    <t>Y940</t>
  </si>
  <si>
    <t>The declared goods are not concerned by Commission Implementing Regulation (EU) No 175/2015</t>
  </si>
  <si>
    <t>Y927</t>
  </si>
  <si>
    <t>The declared goods are not concerned by Council Regulation (EC) No. 1005/2008</t>
  </si>
  <si>
    <t>Y909</t>
  </si>
  <si>
    <t>The declared goods are not concerned by Regulation (EC) No. 1984/2003 (and/or Reg. (EU) No. 640/2010).</t>
  </si>
  <si>
    <t>Y015</t>
  </si>
  <si>
    <t>The rough diamonds are contained in tamper-resistant containers, and the seals applied at export by the participant (Kimberley process) are not broken</t>
  </si>
  <si>
    <t>Y031</t>
  </si>
  <si>
    <t>This certificate code may be used to indicate that shipments are coming from or going to an Authorised Economic Operator (AEO) in a third country with which the European Union (EU) has concluded a mutual recognition agreement regarding AEO programmes. In addition to the certificate code (Y031) the identification code of this third country AEO must</t>
  </si>
  <si>
    <t>Y064</t>
  </si>
  <si>
    <t>Timber and timber products originating in or dispatched from a country partner in a FLEGT Voluntary Partnership Agreement (VPA) exported prior to the entry into force of the VPA</t>
  </si>
  <si>
    <t>Y027</t>
  </si>
  <si>
    <t>Warehousekeeper (AEO certificate number)</t>
  </si>
  <si>
    <t>Y121</t>
  </si>
  <si>
    <t>Tonnes of CO₂ equivalent of bulk gases and of gases contained in products or equipment, and parts thereof</t>
  </si>
  <si>
    <t>Undertaking registered in the F-Gas Portal according to Article 20 of Regulation (EU) 2024/573</t>
  </si>
  <si>
    <t>Y163</t>
  </si>
  <si>
    <t>Net mass of fluorinated greenhouse gases charged in products and equipment</t>
  </si>
  <si>
    <t>Y792</t>
  </si>
  <si>
    <t>Substances, products, equipment, other than those falling within the scope of Regulation (EU) 2024/590</t>
  </si>
  <si>
    <t>Y122</t>
  </si>
  <si>
    <t>Goods originating in Russia, from a region where the CHED-PP is not requested (Part A, Annex XI of Regulation (EU) 2019/2072)</t>
  </si>
  <si>
    <t>Y146</t>
  </si>
  <si>
    <t>Exemption for products intended for scientific purposes in accordance with Article 48(1) of Regulation (EU) 2016/2031</t>
  </si>
  <si>
    <t>Y154</t>
  </si>
  <si>
    <t>Exemption from import/export prohibition on containers, non-refillable or without refilling provisions, for fluorinated greenhouse gases, empty or fully or partially filled, for laboratory or analytical uses according to Article 11.3 of Regulation (EU) 2024/573</t>
  </si>
  <si>
    <t>Y160</t>
  </si>
  <si>
    <t>Goods other than those falling under the applicable provisions of Regulation (EU) 2024/573</t>
  </si>
  <si>
    <t>Y162</t>
  </si>
  <si>
    <t>Exemption from the presentation of a valid licence to the customs authorities for the import or exports of products and equipment that are personal effects (Article 22(1), second subparagraph of Regulation (UE) 2024/573)</t>
  </si>
  <si>
    <t>Y169</t>
  </si>
  <si>
    <t>Products and equipment, including parts (excluding military and repair exemption) listed in Annex IV containing F-gases or relies upon F-gases not subject to prohibition as imposed by Article 11.1. (Reg 2024/573).</t>
  </si>
  <si>
    <t>Y170</t>
  </si>
  <si>
    <t>Goods with third country origin coming from Andorra, according to the relevant EU legislation.</t>
  </si>
  <si>
    <t>Y171</t>
  </si>
  <si>
    <t>Goods with third country origin coming from Switzerland, according to the relevant EU legislation</t>
  </si>
  <si>
    <t>Y172</t>
  </si>
  <si>
    <t>Goods with third country origin coming from Faroe Islands, according to the relevant EU legislation</t>
  </si>
  <si>
    <t>Y173</t>
  </si>
  <si>
    <t>Goods with third country origin coming from Greenland, according to the relevant EU legislation</t>
  </si>
  <si>
    <t>Y174</t>
  </si>
  <si>
    <t>Goods with third country origin coming from Iceland, according to the relevant EU legislation</t>
  </si>
  <si>
    <t>Y175</t>
  </si>
  <si>
    <t>Goods with third country origin coming from Liechtenstein, according to the relevant EU legislation</t>
  </si>
  <si>
    <t>Y176</t>
  </si>
  <si>
    <t>Goods with third country origin coming from Norway, according to the relevant EU legislation</t>
  </si>
  <si>
    <t>Y177</t>
  </si>
  <si>
    <t>Goods with third country origin coming from San Marino, according to the relevant EU legislation</t>
  </si>
  <si>
    <t>Y178</t>
  </si>
  <si>
    <t>Dental amalgam used for specific medical needs</t>
  </si>
  <si>
    <t>Y179</t>
  </si>
  <si>
    <t>Quota provisions from Article 19 (Reg 2024/573) do not apply for products or equipment pre-charged with fluorinated greenhouse gases other than HFCs from Section 1 of Annex I (Reg 2024/573)</t>
  </si>
  <si>
    <t>Y227</t>
  </si>
  <si>
    <t>The contract prohibits re-exportation to Russia and re-exportation for use in Russia – Article 12g paragraph 1 of Regulation (EU) 833/2014</t>
  </si>
  <si>
    <t>Y228</t>
  </si>
  <si>
    <t>The prohibitions defined in article 12g.1 of Council Regulation (EU) No 833/2014 do not apply (see contractual exemptions in article 12g.2 b)</t>
  </si>
  <si>
    <t>Y229</t>
  </si>
  <si>
    <t>Public contracts concluded with a public authority in a third country or with an international organisation - Article 12g paragraph 2a of Regulation (EU) 833/2014</t>
  </si>
  <si>
    <t>Y230</t>
  </si>
  <si>
    <t>Contract prohibits re-exportation to Belarus and re-exportation for use in Belarus – Article 8g paragraph 1 of Council Regulation (EC) No 765/2006</t>
  </si>
  <si>
    <t>Y231</t>
  </si>
  <si>
    <t>The prohibitions defined in article 8g.1 of Council Regulation (EC) No 765/2006 do not apply (see contractual exemptions in article 8g.2)</t>
  </si>
  <si>
    <t>Y232</t>
  </si>
  <si>
    <t>Public contracts concluded with a public authority in a third country or with an international organisation - Article 8g paragraph 3 of Council Regulation (EC) No 765/2006</t>
  </si>
  <si>
    <t>Y233</t>
  </si>
  <si>
    <t>Goods not concerned by Regulation (EU) 224/2014</t>
  </si>
  <si>
    <t>Y234</t>
  </si>
  <si>
    <t>Goods not concerned by Regulation (EU) 2022/2309</t>
  </si>
  <si>
    <t>Y698</t>
  </si>
  <si>
    <t>Goods exported from Russia before 22 July 2022 (Article 3o paragraph 1 of Regulation No 833/2014)</t>
  </si>
  <si>
    <t>Y699</t>
  </si>
  <si>
    <t>Products that had been physically located in a processed or manufactured state in a third country before the date of applicability of the respective prohibition (Article 3p paragraph 12 of Council Regulation (EU) No 833/2014)</t>
  </si>
  <si>
    <t>Y751</t>
  </si>
  <si>
    <t>The prohibitions defined in article 3 1a of Council Regulation (EU) No 833/2014 do not apply (see contractual exemptions in article 3.3a)</t>
  </si>
  <si>
    <t>Y752</t>
  </si>
  <si>
    <t>The prohibitions defined in article 3k.1 of Council Regulation (EU) No 833/2014 do not apply (see contractual exemptions in article 3k.3ag)</t>
  </si>
  <si>
    <t>Y753</t>
  </si>
  <si>
    <t>The declared goods are not concerned by Council Regulation (EC) No. 2017/1509, Annex II</t>
  </si>
  <si>
    <t>Y754</t>
  </si>
  <si>
    <t>The declared goods are not concerned by Council Regulation (EC) No. 765/2006, Annex XXXII</t>
  </si>
  <si>
    <t>Y755</t>
  </si>
  <si>
    <t>The prohibitions defined in article 1gd.1 of Council Regulation (EU) No 765/2006 do not apply (see contractual exemptions in article 1gd.3)</t>
  </si>
  <si>
    <t>Y756</t>
  </si>
  <si>
    <t>The prohibitions defined in article 1ra.1 of Council Regulation (EU) No 765/2006 do not apply (see contractual exemptions in article 1ra.9a)</t>
  </si>
  <si>
    <t>Y766</t>
  </si>
  <si>
    <t>The prohibitions defined in article 5 paragraph 2b of Council Regulation (EU) No 2022/263 do not apply (see exemptions in article 5.6)</t>
  </si>
  <si>
    <t>Y767</t>
  </si>
  <si>
    <t>The prohibitions defined in article 3a paragraph 1 of Council Regulation (EU) No 2022/263 do not apply (see exemptions in article 3a paragraph 2)</t>
  </si>
  <si>
    <t>Y784</t>
  </si>
  <si>
    <t>Containers other than those falling under the import/export prohibitions defined in Regulation (EU) 2024/590</t>
  </si>
  <si>
    <t>Y786</t>
  </si>
  <si>
    <t>Exemption from prohibition for ozone-depleting substances to be used as feedstock (Articles 6 and 13.1(a) (import) and article 14.1(b) (export) of regulation (EU) 2024/590)</t>
  </si>
  <si>
    <t>Y787</t>
  </si>
  <si>
    <t>Exemption from prohibition for ozone-depleting substances to be used as process agents (Articles 7 and 13.1(b) (import) and article 14.1(c) (export) of regulation (EU) 2024/590)</t>
  </si>
  <si>
    <t>Y788</t>
  </si>
  <si>
    <t>Exemption from prohibition for recovered, recycled or reclaimed halons to be used for critical uses, (see articles 9 and 13.1(g) (import) and 14.1(e) (export) of regulation (EU) 2024/590), with presentation of the required certificate (article 17.7 of regulation (EU) 2024/590)</t>
  </si>
  <si>
    <t>Y789</t>
  </si>
  <si>
    <t>Exemption from prohibition for products and equipment containing halons or whose functioning relies upon halons (see articles 13.1(h) (import) and 14.1(f) (export) of Regulation (EU) 2024/590)</t>
  </si>
  <si>
    <t>Y790</t>
  </si>
  <si>
    <t>Exemption from prohibition for ozone-depleting substances destined to destruction or reclamation (see articles 12, 13.1(d), 13.1(e) (import) of Regulation (EU) 2024/590), and for products and equipment (see articles 12, 13.1(i) (import) of Regulation (EU) 2024/590)</t>
  </si>
  <si>
    <t>Y791</t>
  </si>
  <si>
    <t>Exemption from prohibition for ozone-depleting substances to be used for essential laboratory and analytical uses (articles 8, 13.1(c) (import) and article 14.1(a) (export) of regulation (EU) 2024/590), and for products and equipment (articles 11.1 and 13.1(j) (import) and 14.1(g) (export) of regulation (EU) 2024/590)</t>
  </si>
  <si>
    <t>Y793</t>
  </si>
  <si>
    <t>Products and equipment containing ozone-depleting substances or whose functioning relies upon those substances, imported/exported as personal effects (Article 5(2) Regulation (EU) 2024/590)</t>
  </si>
  <si>
    <t>Y797</t>
  </si>
  <si>
    <t>Licensing system registration identification number as defined in Article 17.3 (a) of Regulation (EU) 2024/590</t>
  </si>
  <si>
    <t>Y798</t>
  </si>
  <si>
    <t>Declaration of net mass of ozone-depleting substance(s), when included in products and equipment</t>
  </si>
  <si>
    <t>Y799</t>
  </si>
  <si>
    <t>Net mass of the ozone-depleting substance multiplied by the ODP of the ozone-depleting substance(s), also when included in products and equipment</t>
  </si>
  <si>
    <t>Y871</t>
  </si>
  <si>
    <t>The prohibitions defined in article 2c of Council Regulation (EU) No 692/2014 do not apply (see exemptions in article 2c paragraph 6)</t>
  </si>
  <si>
    <t>Y873</t>
  </si>
  <si>
    <t>Goods not transited via the territory of Russia</t>
  </si>
  <si>
    <t>Y881</t>
  </si>
  <si>
    <t>The prohibitions defined in article 2aa paragraph 1 of Council Regulation (EU) No 692/2014 do not apply (see exemptions in article 2aa paragraph 2)</t>
  </si>
  <si>
    <t>Y883</t>
  </si>
  <si>
    <t>Goods not concerned by Regulation (EU) 692/2014</t>
  </si>
  <si>
    <t>Y885</t>
  </si>
  <si>
    <t>Goods not concerned by Regulation (EU) 2022/263</t>
  </si>
  <si>
    <t>Y897</t>
  </si>
  <si>
    <t>Goods not containing gold originating in Russia listed in Annex XXVI to Regulation No 833/2014</t>
  </si>
  <si>
    <t>Y935</t>
  </si>
  <si>
    <t>Goods not covered by the provisions of Regulation (EU) 1332/2013 (OJ L 335)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</si>
</sst>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5" x14ac:knownFonts="1">
    <font>
      <sz val="10"/>
      <name val="Arial"/>
    </font>
    <font>
      <sz val="10"/>
      <name val="Arial"/>
      <family val="2"/>
    </font>
    <font>
      <b/>
      <sz val="10"/>
      <name val="Arial"/>
      <family val="2"/>
    </font>
    <font>
      <sz val="11"/>
      <color indexed="8"/>
      <name val="Calibri"/>
      <family val="2"/>
    </font>
    <font>
      <b/>
      <sz val="11"/>
      <color indexed="8"/>
      <name val="Calibri"/>
      <family val="2"/>
      <charset val="162"/>
    </font>
    <font>
      <sz val="11"/>
      <color indexed="8"/>
      <name val="Calibri"/>
      <family val="2"/>
      <charset val="162"/>
    </font>
    <font>
      <sz val="8.5"/>
      <color indexed="8"/>
      <name val="Arial"/>
      <family val="2"/>
      <charset val="162"/>
    </font>
    <font>
      <sz val="12"/>
      <color indexed="8"/>
      <name val="Times New Roman"/>
      <family val="1"/>
      <charset val="162"/>
    </font>
    <font>
      <sz val="12"/>
      <color indexed="8"/>
      <name val="Times New Roman"/>
      <family val="1"/>
      <charset val="162"/>
    </font>
    <font>
      <b/>
      <sz val="10"/>
      <name val="Arial"/>
      <family val="2"/>
    </font>
    <font>
      <b/>
      <sz val="10"/>
      <name val="Arial"/>
      <family val="2"/>
    </font>
    <font>
      <b/>
      <sz val="10"/>
      <name val="Arial"/>
      <family val="2"/>
    </font>
    <font>
      <b/>
      <sz val="10"/>
      <name val="Arial"/>
      <family val="2"/>
    </font>
    <font>
      <sz val="11"/>
      <name val="Calibri"/>
      <family val="2"/>
      <scheme val="minor"/>
    </font>
    <font>
      <sz val="8"/>
      <name val="Arial"/>
      <family val="2"/>
    </font>
  </fonts>
  <fills count="28">
    <fill>
      <patternFill patternType="none"/>
    </fill>
    <fill>
      <patternFill patternType="gray125"/>
    </fill>
    <fill>
      <patternFill patternType="solid">
        <fgColor indexed="52"/>
        <bgColor indexed="64"/>
      </patternFill>
    </fill>
    <fill>
      <patternFill patternType="solid">
        <fgColor indexed="50"/>
        <bgColor indexed="64"/>
      </patternFill>
    </fill>
    <fill>
      <patternFill patternType="solid">
        <fgColor indexed="53"/>
        <bgColor indexed="64"/>
      </patternFill>
    </fill>
    <fill>
      <patternFill patternType="solid">
        <fgColor indexed="49"/>
        <bgColor indexed="64"/>
      </patternFill>
    </fill>
    <fill>
      <patternFill patternType="solid">
        <fgColor indexed="13"/>
        <bgColor indexed="64"/>
      </patternFill>
    </fill>
    <fill>
      <patternFill patternType="solid">
        <fgColor indexed="17"/>
        <bgColor indexed="64"/>
      </patternFill>
    </fill>
    <fill>
      <patternFill patternType="solid">
        <fgColor indexed="62"/>
        <bgColor indexed="64"/>
      </patternFill>
    </fill>
    <fill>
      <patternFill patternType="solid">
        <fgColor indexed="57"/>
        <bgColor indexed="64"/>
      </patternFill>
    </fill>
    <fill>
      <patternFill patternType="solid">
        <fgColor indexed="19"/>
        <bgColor indexed="64"/>
      </patternFill>
    </fill>
    <fill>
      <patternFill patternType="solid">
        <fgColor indexed="22"/>
        <bgColor indexed="64"/>
      </patternFill>
    </fill>
    <fill>
      <patternFill patternType="solid">
        <fgColor indexed="47"/>
        <bgColor indexed="64"/>
      </patternFill>
    </fill>
    <fill>
      <patternFill patternType="solid">
        <fgColor indexed="9"/>
        <bgColor indexed="64"/>
      </patternFill>
    </fill>
    <fill>
      <patternFill patternType="solid">
        <fgColor indexed="43"/>
        <bgColor indexed="64"/>
      </patternFill>
    </fill>
    <fill>
      <patternFill patternType="solid">
        <fgColor indexed="31"/>
        <bgColor indexed="64"/>
      </patternFill>
    </fill>
    <fill>
      <patternFill patternType="solid">
        <fgColor indexed="42"/>
        <bgColor indexed="64"/>
      </patternFill>
    </fill>
    <fill>
      <patternFill patternType="solid">
        <fgColor indexed="48"/>
        <bgColor indexed="64"/>
      </patternFill>
    </fill>
    <fill>
      <patternFill patternType="solid">
        <fgColor rgb="FF0070C0"/>
        <bgColor indexed="64"/>
      </patternFill>
    </fill>
    <fill>
      <patternFill patternType="solid">
        <fgColor rgb="FFFFCC99"/>
        <bgColor indexed="64"/>
      </patternFill>
    </fill>
    <fill>
      <patternFill patternType="solid">
        <fgColor rgb="FFFFFF00"/>
        <bgColor indexed="64"/>
      </patternFill>
    </fill>
    <fill>
      <patternFill patternType="solid">
        <fgColor theme="5" tint="0.39997558519241921"/>
        <bgColor indexed="64"/>
      </patternFill>
    </fill>
    <fill>
      <patternFill patternType="solid">
        <fgColor rgb="FF008000"/>
        <bgColor indexed="64"/>
      </patternFill>
    </fill>
    <fill>
      <patternFill patternType="solid">
        <fgColor theme="8" tint="-0.249977111117893"/>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00B0F0"/>
        <bgColor indexed="64"/>
      </patternFill>
    </fill>
    <fill>
      <patternFill patternType="solid">
        <fgColor rgb="FF92D050"/>
        <bgColor indexed="64"/>
      </patternFill>
    </fill>
  </fills>
  <borders count="41">
    <border>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style="thin">
        <color indexed="8"/>
      </left>
      <right style="thin">
        <color indexed="8"/>
      </right>
      <top/>
      <bottom style="thin">
        <color indexed="64"/>
      </bottom>
      <diagonal/>
    </border>
    <border>
      <left style="thin">
        <color indexed="8"/>
      </left>
      <right style="thin">
        <color indexed="8"/>
      </right>
      <top/>
      <bottom style="thin">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8"/>
      </right>
      <top/>
      <bottom/>
      <diagonal/>
    </border>
    <border>
      <left style="medium">
        <color indexed="8"/>
      </left>
      <right style="thin">
        <color indexed="8"/>
      </right>
      <top style="thin">
        <color indexed="8"/>
      </top>
      <bottom style="thin">
        <color indexed="8"/>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medium">
        <color indexed="64"/>
      </right>
      <top/>
      <bottom style="thin">
        <color indexed="8"/>
      </bottom>
      <diagonal/>
    </border>
    <border>
      <left/>
      <right/>
      <top/>
      <bottom style="thin">
        <color indexed="8"/>
      </bottom>
      <diagonal/>
    </border>
    <border>
      <left style="medium">
        <color indexed="64"/>
      </left>
      <right/>
      <top/>
      <bottom/>
      <diagonal/>
    </border>
    <border>
      <left/>
      <right style="thin">
        <color indexed="64"/>
      </right>
      <top style="thin">
        <color indexed="64"/>
      </top>
      <bottom style="thin">
        <color indexed="64"/>
      </bottom>
      <diagonal/>
    </border>
    <border>
      <left style="thin">
        <color indexed="8"/>
      </left>
      <right style="medium">
        <color indexed="64"/>
      </right>
      <top style="thin">
        <color indexed="8"/>
      </top>
      <bottom style="thin">
        <color indexed="8"/>
      </bottom>
      <diagonal/>
    </border>
    <border>
      <left/>
      <right/>
      <top/>
      <bottom style="thin">
        <color indexed="64"/>
      </bottom>
      <diagonal/>
    </border>
    <border>
      <left/>
      <right style="thin">
        <color indexed="8"/>
      </right>
      <top style="thin">
        <color indexed="8"/>
      </top>
      <bottom style="thin">
        <color indexed="8"/>
      </bottom>
      <diagonal/>
    </border>
    <border>
      <left style="medium">
        <color indexed="64"/>
      </left>
      <right style="thin">
        <color indexed="64"/>
      </right>
      <top style="thin">
        <color indexed="64"/>
      </top>
      <bottom style="thin">
        <color indexed="64"/>
      </bottom>
      <diagonal/>
    </border>
    <border>
      <left style="thin">
        <color indexed="8"/>
      </left>
      <right/>
      <top style="thin">
        <color indexed="8"/>
      </top>
      <bottom style="thin">
        <color indexed="8"/>
      </bottom>
      <diagonal/>
    </border>
    <border>
      <left style="medium">
        <color indexed="64"/>
      </left>
      <right style="thin">
        <color indexed="64"/>
      </right>
      <top style="thin">
        <color indexed="8"/>
      </top>
      <bottom style="thin">
        <color indexed="8"/>
      </bottom>
      <diagonal/>
    </border>
    <border>
      <left style="medium">
        <color indexed="64"/>
      </left>
      <right/>
      <top/>
      <bottom style="thin">
        <color indexed="8"/>
      </bottom>
      <diagonal/>
    </border>
    <border>
      <left style="medium">
        <color indexed="64"/>
      </left>
      <right style="thin">
        <color indexed="8"/>
      </right>
      <top style="thin">
        <color indexed="8"/>
      </top>
      <bottom style="thin">
        <color indexed="8"/>
      </bottom>
      <diagonal/>
    </border>
    <border>
      <left style="thin">
        <color indexed="8"/>
      </left>
      <right/>
      <top/>
      <bottom style="thin">
        <color indexed="8"/>
      </bottom>
      <diagonal/>
    </border>
    <border>
      <left/>
      <right style="medium">
        <color indexed="64"/>
      </right>
      <top/>
      <bottom/>
      <diagonal/>
    </border>
    <border>
      <left style="medium">
        <color indexed="64"/>
      </left>
      <right style="medium">
        <color indexed="8"/>
      </right>
      <top/>
      <bottom/>
      <diagonal/>
    </border>
    <border>
      <left style="medium">
        <color indexed="8"/>
      </left>
      <right/>
      <top/>
      <bottom/>
      <diagonal/>
    </border>
    <border>
      <left/>
      <right style="medium">
        <color indexed="8"/>
      </right>
      <top/>
      <bottom style="thin">
        <color indexed="64"/>
      </bottom>
      <diagonal/>
    </border>
    <border>
      <left style="thin">
        <color indexed="8"/>
      </left>
      <right style="thin">
        <color indexed="64"/>
      </right>
      <top/>
      <bottom/>
      <diagonal/>
    </border>
    <border>
      <left/>
      <right style="thin">
        <color indexed="8"/>
      </right>
      <top/>
      <bottom/>
      <diagonal/>
    </border>
    <border>
      <left style="medium">
        <color indexed="64"/>
      </left>
      <right/>
      <top/>
      <bottom style="thin">
        <color indexed="64"/>
      </bottom>
      <diagonal/>
    </border>
    <border>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style="thin">
        <color auto="1"/>
      </left>
      <right/>
      <top style="thin">
        <color auto="1"/>
      </top>
      <bottom style="thin">
        <color auto="1"/>
      </bottom>
      <diagonal/>
    </border>
    <border>
      <left style="thin">
        <color indexed="8"/>
      </left>
      <right style="thin">
        <color indexed="64"/>
      </right>
      <top/>
      <bottom style="thin">
        <color indexed="8"/>
      </bottom>
      <diagonal/>
    </border>
    <border>
      <left/>
      <right style="thin">
        <color indexed="8"/>
      </right>
      <top/>
      <bottom style="thin">
        <color indexed="64"/>
      </bottom>
      <diagonal/>
    </border>
    <border>
      <left/>
      <right/>
      <top style="thin">
        <color indexed="8"/>
      </top>
      <bottom/>
      <diagonal/>
    </border>
    <border>
      <left style="thin">
        <color auto="1"/>
      </left>
      <right style="thin">
        <color indexed="64"/>
      </right>
      <top/>
      <bottom style="thin">
        <color auto="1"/>
      </bottom>
      <diagonal/>
    </border>
  </borders>
  <cellStyleXfs count="2">
    <xf numFmtId="0" fontId="0" fillId="0" borderId="0" applyNumberFormat="0" applyFont="0" applyFill="0" applyBorder="0" applyAlignment="0" applyProtection="0"/>
    <xf numFmtId="0" fontId="3" fillId="0" borderId="0"/>
  </cellStyleXfs>
  <cellXfs count="216">
    <xf numFmtId="0" fontId="0" fillId="0" borderId="0" xfId="0" applyNumberFormat="1" applyFont="1" applyFill="1" applyBorder="1" applyAlignment="1"/>
    <xf numFmtId="0" fontId="0" fillId="0" borderId="0" xfId="0" applyNumberFormat="1" applyFont="1" applyFill="1" applyBorder="1" applyAlignment="1">
      <alignment wrapText="1"/>
    </xf>
    <xf numFmtId="0" fontId="0" fillId="2" borderId="0" xfId="0" applyNumberFormat="1" applyFont="1" applyFill="1" applyBorder="1" applyAlignment="1">
      <alignment wrapText="1"/>
    </xf>
    <xf numFmtId="49" fontId="3" fillId="3" borderId="1" xfId="1" applyNumberFormat="1" applyFill="1" applyBorder="1" applyAlignment="1">
      <alignment wrapText="1"/>
    </xf>
    <xf numFmtId="49" fontId="3" fillId="3" borderId="2" xfId="1" applyNumberFormat="1" applyFill="1" applyBorder="1" applyAlignment="1">
      <alignment wrapText="1"/>
    </xf>
    <xf numFmtId="49" fontId="3" fillId="4" borderId="1" xfId="1" applyNumberFormat="1" applyFill="1" applyBorder="1" applyAlignment="1">
      <alignment wrapText="1"/>
    </xf>
    <xf numFmtId="49" fontId="3" fillId="4" borderId="2" xfId="1" applyNumberFormat="1" applyFill="1" applyBorder="1" applyAlignment="1">
      <alignment wrapText="1"/>
    </xf>
    <xf numFmtId="0" fontId="0" fillId="4" borderId="0" xfId="0" applyNumberFormat="1" applyFont="1" applyFill="1" applyBorder="1" applyAlignment="1">
      <alignment wrapText="1"/>
    </xf>
    <xf numFmtId="49" fontId="3" fillId="5" borderId="1" xfId="1" applyNumberFormat="1" applyFill="1" applyBorder="1"/>
    <xf numFmtId="0" fontId="0" fillId="5" borderId="0" xfId="0" applyNumberFormat="1" applyFont="1" applyFill="1" applyBorder="1" applyAlignment="1">
      <alignment wrapText="1"/>
    </xf>
    <xf numFmtId="0" fontId="0" fillId="5" borderId="0" xfId="0" applyNumberFormat="1" applyFont="1" applyFill="1" applyBorder="1" applyAlignment="1"/>
    <xf numFmtId="49" fontId="3" fillId="6" borderId="1" xfId="1" applyNumberFormat="1" applyFill="1" applyBorder="1"/>
    <xf numFmtId="49" fontId="3" fillId="6" borderId="2" xfId="1" applyNumberFormat="1" applyFill="1" applyBorder="1"/>
    <xf numFmtId="49" fontId="3" fillId="6" borderId="2" xfId="1" applyNumberFormat="1" applyFill="1" applyBorder="1" applyAlignment="1">
      <alignment wrapText="1"/>
    </xf>
    <xf numFmtId="0" fontId="0" fillId="6" borderId="0" xfId="0" applyNumberFormat="1" applyFont="1" applyFill="1" applyBorder="1" applyAlignment="1">
      <alignment wrapText="1"/>
    </xf>
    <xf numFmtId="49" fontId="3" fillId="7" borderId="1" xfId="1" applyNumberFormat="1" applyFill="1" applyBorder="1"/>
    <xf numFmtId="49" fontId="3" fillId="7" borderId="2" xfId="1" applyNumberFormat="1" applyFill="1" applyBorder="1"/>
    <xf numFmtId="49" fontId="3" fillId="7" borderId="3" xfId="1" applyNumberFormat="1" applyFill="1" applyBorder="1"/>
    <xf numFmtId="49" fontId="3" fillId="8" borderId="1" xfId="1" applyNumberFormat="1" applyFill="1" applyBorder="1"/>
    <xf numFmtId="49" fontId="3" fillId="8" borderId="2" xfId="1" applyNumberFormat="1" applyFill="1" applyBorder="1"/>
    <xf numFmtId="49" fontId="3" fillId="8" borderId="3" xfId="1" applyNumberFormat="1" applyFill="1" applyBorder="1"/>
    <xf numFmtId="0" fontId="0" fillId="3" borderId="0" xfId="0" applyNumberFormat="1" applyFont="1" applyFill="1" applyBorder="1" applyAlignment="1">
      <alignment wrapText="1"/>
    </xf>
    <xf numFmtId="49" fontId="3" fillId="4" borderId="2" xfId="1" quotePrefix="1" applyNumberFormat="1" applyFill="1" applyBorder="1" applyAlignment="1">
      <alignment wrapText="1"/>
    </xf>
    <xf numFmtId="49" fontId="3" fillId="4" borderId="4" xfId="1" quotePrefix="1" applyNumberFormat="1" applyFill="1" applyBorder="1" applyAlignment="1">
      <alignment wrapText="1"/>
    </xf>
    <xf numFmtId="49" fontId="3" fillId="4" borderId="3" xfId="1" applyNumberFormat="1" applyFill="1" applyBorder="1" applyAlignment="1">
      <alignment wrapText="1"/>
    </xf>
    <xf numFmtId="0" fontId="0" fillId="4" borderId="5" xfId="0" applyNumberFormat="1" applyFont="1" applyFill="1" applyBorder="1" applyAlignment="1">
      <alignment wrapText="1"/>
    </xf>
    <xf numFmtId="0" fontId="0" fillId="4" borderId="6" xfId="0" applyNumberFormat="1" applyFont="1" applyFill="1" applyBorder="1" applyAlignment="1">
      <alignment wrapText="1"/>
    </xf>
    <xf numFmtId="0" fontId="0" fillId="4" borderId="7" xfId="0" applyNumberFormat="1" applyFont="1" applyFill="1" applyBorder="1" applyAlignment="1">
      <alignment wrapText="1"/>
    </xf>
    <xf numFmtId="49" fontId="3" fillId="3" borderId="3" xfId="1" applyNumberFormat="1" applyFill="1" applyBorder="1" applyAlignment="1">
      <alignment wrapText="1"/>
    </xf>
    <xf numFmtId="49" fontId="3" fillId="5" borderId="2" xfId="1" applyNumberFormat="1" applyFill="1" applyBorder="1"/>
    <xf numFmtId="0" fontId="4" fillId="8" borderId="0" xfId="0" applyFont="1" applyFill="1"/>
    <xf numFmtId="0" fontId="5" fillId="8" borderId="5" xfId="0" applyFont="1" applyFill="1" applyBorder="1" applyAlignment="1">
      <alignment vertical="center" wrapText="1"/>
    </xf>
    <xf numFmtId="0" fontId="0" fillId="8" borderId="5" xfId="0" applyFill="1" applyBorder="1" applyAlignment="1">
      <alignment wrapText="1"/>
    </xf>
    <xf numFmtId="0" fontId="6" fillId="9" borderId="5" xfId="0" applyFont="1" applyFill="1" applyBorder="1" applyAlignment="1">
      <alignment vertical="center" wrapText="1"/>
    </xf>
    <xf numFmtId="0" fontId="0" fillId="9" borderId="5" xfId="0" applyFill="1" applyBorder="1" applyAlignment="1">
      <alignment wrapText="1"/>
    </xf>
    <xf numFmtId="0" fontId="2" fillId="9" borderId="0" xfId="0" applyFont="1" applyFill="1"/>
    <xf numFmtId="0" fontId="2" fillId="10" borderId="5" xfId="0" applyFont="1" applyFill="1" applyBorder="1" applyAlignment="1">
      <alignment wrapText="1"/>
    </xf>
    <xf numFmtId="0" fontId="0" fillId="10" borderId="5" xfId="0" applyFill="1" applyBorder="1" applyAlignment="1">
      <alignment wrapText="1"/>
    </xf>
    <xf numFmtId="0" fontId="0" fillId="0" borderId="0" xfId="0"/>
    <xf numFmtId="0" fontId="4" fillId="7" borderId="5" xfId="0" applyFont="1" applyFill="1" applyBorder="1"/>
    <xf numFmtId="0" fontId="0" fillId="7" borderId="5" xfId="0" applyFill="1" applyBorder="1"/>
    <xf numFmtId="0" fontId="0" fillId="7" borderId="5" xfId="0" applyFill="1" applyBorder="1" applyAlignment="1">
      <alignment wrapText="1"/>
    </xf>
    <xf numFmtId="49" fontId="0" fillId="7" borderId="5" xfId="0" applyNumberFormat="1" applyFill="1" applyBorder="1"/>
    <xf numFmtId="0" fontId="7" fillId="7" borderId="5" xfId="0" applyFont="1" applyFill="1" applyBorder="1"/>
    <xf numFmtId="0" fontId="8" fillId="7" borderId="5" xfId="0" applyFont="1" applyFill="1" applyBorder="1"/>
    <xf numFmtId="0" fontId="7" fillId="7" borderId="5" xfId="0" applyFont="1" applyFill="1" applyBorder="1" applyAlignment="1">
      <alignment vertical="center"/>
    </xf>
    <xf numFmtId="49" fontId="5" fillId="8" borderId="5" xfId="0" applyNumberFormat="1" applyFont="1" applyFill="1" applyBorder="1" applyAlignment="1">
      <alignment vertical="center" wrapText="1"/>
    </xf>
    <xf numFmtId="49" fontId="4" fillId="7" borderId="5" xfId="0" applyNumberFormat="1" applyFont="1" applyFill="1" applyBorder="1"/>
    <xf numFmtId="49" fontId="0" fillId="0" borderId="0" xfId="0" applyNumberFormat="1"/>
    <xf numFmtId="49" fontId="4" fillId="8" borderId="0" xfId="0" applyNumberFormat="1" applyFont="1" applyFill="1"/>
    <xf numFmtId="49" fontId="0" fillId="0" borderId="0" xfId="0" applyNumberFormat="1" applyFont="1" applyFill="1" applyBorder="1" applyAlignment="1">
      <alignment wrapText="1"/>
    </xf>
    <xf numFmtId="49" fontId="2" fillId="10" borderId="5" xfId="0" applyNumberFormat="1" applyFont="1" applyFill="1" applyBorder="1" applyAlignment="1">
      <alignment wrapText="1"/>
    </xf>
    <xf numFmtId="49" fontId="1" fillId="10" borderId="5" xfId="0" applyNumberFormat="1" applyFont="1" applyFill="1" applyBorder="1" applyAlignment="1">
      <alignment wrapText="1"/>
    </xf>
    <xf numFmtId="49" fontId="1" fillId="7" borderId="5" xfId="0" applyNumberFormat="1" applyFont="1" applyFill="1" applyBorder="1"/>
    <xf numFmtId="0" fontId="9" fillId="11" borderId="0" xfId="0" applyFont="1" applyFill="1" applyAlignment="1">
      <alignment horizontal="center"/>
    </xf>
    <xf numFmtId="0" fontId="10" fillId="12" borderId="0" xfId="0" applyFont="1" applyFill="1" applyAlignment="1">
      <alignment horizontal="center"/>
    </xf>
    <xf numFmtId="0" fontId="11" fillId="11" borderId="0" xfId="0" applyFont="1" applyFill="1" applyAlignment="1">
      <alignment horizontal="center"/>
    </xf>
    <xf numFmtId="0" fontId="12" fillId="11" borderId="8" xfId="0" applyFont="1" applyFill="1" applyBorder="1" applyAlignment="1">
      <alignment horizontal="center"/>
    </xf>
    <xf numFmtId="0" fontId="0" fillId="13" borderId="1" xfId="0" applyFill="1" applyBorder="1"/>
    <xf numFmtId="2" fontId="0" fillId="13" borderId="1" xfId="0" applyNumberFormat="1" applyFill="1" applyBorder="1"/>
    <xf numFmtId="0" fontId="0" fillId="14" borderId="1" xfId="0" applyFill="1" applyBorder="1"/>
    <xf numFmtId="0" fontId="0" fillId="14" borderId="9" xfId="0" applyFill="1" applyBorder="1"/>
    <xf numFmtId="0" fontId="0" fillId="12" borderId="1" xfId="0" applyFill="1" applyBorder="1"/>
    <xf numFmtId="0" fontId="0" fillId="12" borderId="9" xfId="0" applyFill="1" applyBorder="1"/>
    <xf numFmtId="0" fontId="0" fillId="15" borderId="1" xfId="0" applyFill="1" applyBorder="1"/>
    <xf numFmtId="0" fontId="0" fillId="15" borderId="9" xfId="0" applyFill="1" applyBorder="1"/>
    <xf numFmtId="0" fontId="0" fillId="13" borderId="9" xfId="0" applyFill="1" applyBorder="1"/>
    <xf numFmtId="0" fontId="2" fillId="11" borderId="0" xfId="0" applyFont="1" applyFill="1" applyAlignment="1">
      <alignment horizontal="center"/>
    </xf>
    <xf numFmtId="0" fontId="2" fillId="12" borderId="0" xfId="0" applyFont="1" applyFill="1" applyAlignment="1">
      <alignment horizontal="center"/>
    </xf>
    <xf numFmtId="0" fontId="2" fillId="12" borderId="8" xfId="0" applyFont="1" applyFill="1" applyBorder="1" applyAlignment="1">
      <alignment horizontal="center"/>
    </xf>
    <xf numFmtId="0" fontId="0" fillId="2" borderId="10" xfId="0" applyNumberFormat="1" applyFont="1" applyFill="1" applyBorder="1" applyAlignment="1">
      <alignment wrapText="1"/>
    </xf>
    <xf numFmtId="0" fontId="0" fillId="2" borderId="11" xfId="0" applyNumberFormat="1" applyFont="1" applyFill="1" applyBorder="1" applyAlignment="1">
      <alignment wrapText="1"/>
    </xf>
    <xf numFmtId="49" fontId="3" fillId="2" borderId="6" xfId="1" applyNumberFormat="1" applyFill="1" applyBorder="1" applyAlignment="1">
      <alignment wrapText="1"/>
    </xf>
    <xf numFmtId="49" fontId="3" fillId="2" borderId="7" xfId="1" applyNumberFormat="1" applyFill="1" applyBorder="1" applyAlignment="1">
      <alignment wrapText="1"/>
    </xf>
    <xf numFmtId="49" fontId="5" fillId="18" borderId="10" xfId="0" applyNumberFormat="1" applyFont="1" applyFill="1" applyBorder="1" applyAlignment="1">
      <alignment vertical="center" wrapText="1"/>
    </xf>
    <xf numFmtId="0" fontId="0" fillId="18" borderId="10" xfId="0" applyNumberFormat="1" applyFont="1" applyFill="1" applyBorder="1" applyAlignment="1">
      <alignment wrapText="1"/>
    </xf>
    <xf numFmtId="0" fontId="0" fillId="18" borderId="10" xfId="0" applyFill="1" applyBorder="1" applyAlignment="1">
      <alignment wrapText="1"/>
    </xf>
    <xf numFmtId="49" fontId="3" fillId="2" borderId="5" xfId="1" applyNumberFormat="1" applyFill="1" applyBorder="1" applyAlignment="1">
      <alignment wrapText="1"/>
    </xf>
    <xf numFmtId="49" fontId="3" fillId="2" borderId="10" xfId="1" applyNumberFormat="1" applyFill="1" applyBorder="1" applyAlignment="1">
      <alignment wrapText="1"/>
    </xf>
    <xf numFmtId="0" fontId="0" fillId="2" borderId="10" xfId="0" applyFill="1" applyBorder="1" applyAlignment="1">
      <alignment wrapText="1"/>
    </xf>
    <xf numFmtId="49" fontId="3" fillId="2" borderId="12" xfId="1" applyNumberFormat="1" applyFill="1" applyBorder="1" applyAlignment="1">
      <alignment wrapText="1"/>
    </xf>
    <xf numFmtId="0" fontId="0" fillId="18" borderId="11" xfId="0" applyNumberFormat="1" applyFont="1" applyFill="1" applyBorder="1" applyAlignment="1">
      <alignment wrapText="1"/>
    </xf>
    <xf numFmtId="0" fontId="5" fillId="18" borderId="10" xfId="0" applyFont="1" applyFill="1" applyBorder="1" applyAlignment="1">
      <alignment vertical="center" wrapText="1"/>
    </xf>
    <xf numFmtId="0" fontId="0" fillId="18" borderId="6" xfId="0" applyFill="1" applyBorder="1" applyAlignment="1">
      <alignment wrapText="1"/>
    </xf>
    <xf numFmtId="0" fontId="0" fillId="18" borderId="7" xfId="0" applyFill="1" applyBorder="1" applyAlignment="1">
      <alignment wrapText="1"/>
    </xf>
    <xf numFmtId="49" fontId="4" fillId="18" borderId="12" xfId="0" applyNumberFormat="1" applyFont="1" applyFill="1" applyBorder="1"/>
    <xf numFmtId="0" fontId="4" fillId="18" borderId="12" xfId="0" applyFont="1" applyFill="1" applyBorder="1"/>
    <xf numFmtId="0" fontId="4" fillId="18" borderId="5" xfId="0" applyFont="1" applyFill="1" applyBorder="1"/>
    <xf numFmtId="0" fontId="0" fillId="19" borderId="1" xfId="0" applyFill="1" applyBorder="1"/>
    <xf numFmtId="0" fontId="13" fillId="4" borderId="0" xfId="0" applyNumberFormat="1" applyFont="1" applyFill="1" applyBorder="1" applyAlignment="1">
      <alignment wrapText="1"/>
    </xf>
    <xf numFmtId="49" fontId="4" fillId="20" borderId="12" xfId="0" applyNumberFormat="1" applyFont="1" applyFill="1" applyBorder="1"/>
    <xf numFmtId="0" fontId="4" fillId="20" borderId="12" xfId="0" applyFont="1" applyFill="1" applyBorder="1"/>
    <xf numFmtId="0" fontId="4" fillId="20" borderId="5" xfId="0" applyFont="1" applyFill="1" applyBorder="1"/>
    <xf numFmtId="49" fontId="5" fillId="20" borderId="10" xfId="0" applyNumberFormat="1" applyFont="1" applyFill="1" applyBorder="1" applyAlignment="1">
      <alignment vertical="center" wrapText="1"/>
    </xf>
    <xf numFmtId="0" fontId="5" fillId="20" borderId="10" xfId="0" applyFont="1" applyFill="1" applyBorder="1" applyAlignment="1">
      <alignment vertical="center" wrapText="1"/>
    </xf>
    <xf numFmtId="0" fontId="0" fillId="20" borderId="6" xfId="0" applyFill="1" applyBorder="1" applyAlignment="1">
      <alignment wrapText="1"/>
    </xf>
    <xf numFmtId="0" fontId="0" fillId="20" borderId="10" xfId="0" applyFill="1" applyBorder="1" applyAlignment="1">
      <alignment wrapText="1"/>
    </xf>
    <xf numFmtId="49" fontId="4" fillId="21" borderId="12" xfId="0" applyNumberFormat="1" applyFont="1" applyFill="1" applyBorder="1"/>
    <xf numFmtId="0" fontId="4" fillId="21" borderId="12" xfId="0" applyFont="1" applyFill="1" applyBorder="1"/>
    <xf numFmtId="0" fontId="4" fillId="21" borderId="5" xfId="0" applyFont="1" applyFill="1" applyBorder="1"/>
    <xf numFmtId="49" fontId="5" fillId="21" borderId="10" xfId="0" applyNumberFormat="1" applyFont="1" applyFill="1" applyBorder="1" applyAlignment="1">
      <alignment vertical="center" wrapText="1"/>
    </xf>
    <xf numFmtId="0" fontId="5" fillId="21" borderId="10" xfId="0" applyFont="1" applyFill="1" applyBorder="1" applyAlignment="1">
      <alignment vertical="center" wrapText="1"/>
    </xf>
    <xf numFmtId="0" fontId="0" fillId="21" borderId="6" xfId="0" applyFill="1" applyBorder="1" applyAlignment="1">
      <alignment wrapText="1"/>
    </xf>
    <xf numFmtId="0" fontId="0" fillId="21" borderId="10" xfId="0" applyFill="1" applyBorder="1" applyAlignment="1">
      <alignment wrapText="1"/>
    </xf>
    <xf numFmtId="0" fontId="0" fillId="20" borderId="7" xfId="0" applyFill="1" applyBorder="1" applyAlignment="1">
      <alignment wrapText="1"/>
    </xf>
    <xf numFmtId="0" fontId="0" fillId="21" borderId="10" xfId="0" applyNumberFormat="1" applyFont="1" applyFill="1" applyBorder="1" applyAlignment="1">
      <alignment wrapText="1"/>
    </xf>
    <xf numFmtId="0" fontId="2" fillId="15" borderId="0" xfId="0" applyFont="1" applyFill="1" applyAlignment="1">
      <alignment horizontal="center"/>
    </xf>
    <xf numFmtId="49" fontId="3" fillId="22" borderId="2" xfId="1" applyNumberFormat="1" applyFill="1" applyBorder="1"/>
    <xf numFmtId="0" fontId="2" fillId="11" borderId="13" xfId="0" applyFont="1" applyFill="1" applyBorder="1" applyAlignment="1">
      <alignment horizontal="center"/>
    </xf>
    <xf numFmtId="0" fontId="2" fillId="15" borderId="13" xfId="0" applyFont="1" applyFill="1" applyBorder="1" applyAlignment="1">
      <alignment horizontal="center"/>
    </xf>
    <xf numFmtId="0" fontId="2" fillId="11" borderId="0" xfId="0" applyFont="1" applyFill="1" applyBorder="1" applyAlignment="1">
      <alignment horizontal="center"/>
    </xf>
    <xf numFmtId="49" fontId="3" fillId="22" borderId="3" xfId="1" applyNumberFormat="1" applyFill="1" applyBorder="1"/>
    <xf numFmtId="0" fontId="2" fillId="11" borderId="14" xfId="0" applyFont="1" applyFill="1" applyBorder="1" applyAlignment="1">
      <alignment horizontal="center"/>
    </xf>
    <xf numFmtId="0" fontId="2" fillId="12" borderId="15" xfId="0" applyFont="1" applyFill="1" applyBorder="1" applyAlignment="1">
      <alignment horizontal="center"/>
    </xf>
    <xf numFmtId="0" fontId="0" fillId="12" borderId="16" xfId="0" applyFill="1" applyBorder="1"/>
    <xf numFmtId="0" fontId="0" fillId="14" borderId="17" xfId="0" applyFill="1" applyBorder="1"/>
    <xf numFmtId="0" fontId="2" fillId="12" borderId="18" xfId="0" applyFont="1" applyFill="1" applyBorder="1" applyAlignment="1">
      <alignment horizontal="center"/>
    </xf>
    <xf numFmtId="0" fontId="0" fillId="12" borderId="14" xfId="0" applyFill="1" applyBorder="1"/>
    <xf numFmtId="0" fontId="0" fillId="14" borderId="19" xfId="0" applyFill="1" applyBorder="1"/>
    <xf numFmtId="0" fontId="2" fillId="11" borderId="15" xfId="0" applyFont="1" applyFill="1" applyBorder="1" applyAlignment="1">
      <alignment horizontal="center"/>
    </xf>
    <xf numFmtId="0" fontId="0" fillId="14" borderId="20" xfId="0" applyFill="1" applyBorder="1"/>
    <xf numFmtId="0" fontId="0" fillId="13" borderId="21" xfId="0" applyFill="1" applyBorder="1"/>
    <xf numFmtId="0" fontId="0" fillId="13" borderId="22" xfId="0" applyFill="1" applyBorder="1"/>
    <xf numFmtId="0" fontId="2" fillId="12" borderId="23" xfId="0" applyFont="1" applyFill="1" applyBorder="1" applyAlignment="1">
      <alignment horizontal="center" wrapText="1"/>
    </xf>
    <xf numFmtId="0" fontId="0" fillId="13" borderId="12" xfId="0" applyFill="1" applyBorder="1"/>
    <xf numFmtId="0" fontId="0" fillId="12" borderId="24" xfId="0" applyFill="1" applyBorder="1"/>
    <xf numFmtId="0" fontId="0" fillId="12" borderId="25" xfId="0" applyFill="1" applyBorder="1"/>
    <xf numFmtId="49" fontId="3" fillId="4" borderId="0" xfId="1" quotePrefix="1" applyNumberFormat="1" applyFill="1" applyAlignment="1">
      <alignment wrapText="1"/>
    </xf>
    <xf numFmtId="49" fontId="3" fillId="4" borderId="0" xfId="1" applyNumberFormat="1" applyFill="1" applyAlignment="1">
      <alignment wrapText="1"/>
    </xf>
    <xf numFmtId="0" fontId="2" fillId="16" borderId="8" xfId="0" applyFont="1" applyFill="1" applyBorder="1" applyAlignment="1">
      <alignment horizontal="center"/>
    </xf>
    <xf numFmtId="0" fontId="2" fillId="16" borderId="0" xfId="0" applyFont="1" applyFill="1" applyAlignment="1">
      <alignment horizontal="center"/>
    </xf>
    <xf numFmtId="0" fontId="0" fillId="14" borderId="24" xfId="0" applyFill="1" applyBorder="1"/>
    <xf numFmtId="49" fontId="3" fillId="3" borderId="4" xfId="1" applyNumberFormat="1" applyFill="1" applyBorder="1" applyAlignment="1">
      <alignment wrapText="1"/>
    </xf>
    <xf numFmtId="0" fontId="0" fillId="14" borderId="21" xfId="0" applyFill="1" applyBorder="1"/>
    <xf numFmtId="0" fontId="0" fillId="13" borderId="5" xfId="0" applyFill="1" applyBorder="1"/>
    <xf numFmtId="0" fontId="2" fillId="11" borderId="29" xfId="0" applyFont="1" applyFill="1" applyBorder="1" applyAlignment="1">
      <alignment horizontal="center"/>
    </xf>
    <xf numFmtId="0" fontId="0" fillId="13" borderId="1" xfId="0" applyNumberFormat="1" applyFill="1" applyBorder="1"/>
    <xf numFmtId="2" fontId="0" fillId="13" borderId="14" xfId="0" applyNumberFormat="1" applyFill="1" applyBorder="1"/>
    <xf numFmtId="49" fontId="3" fillId="22" borderId="0" xfId="1" applyNumberFormat="1" applyFill="1"/>
    <xf numFmtId="0" fontId="0" fillId="0" borderId="30" xfId="0" applyNumberFormat="1" applyFont="1" applyFill="1" applyBorder="1" applyAlignment="1">
      <alignment wrapText="1"/>
    </xf>
    <xf numFmtId="49" fontId="3" fillId="7" borderId="31" xfId="1" applyNumberFormat="1" applyFill="1" applyBorder="1"/>
    <xf numFmtId="49" fontId="3" fillId="7" borderId="6" xfId="1" applyNumberFormat="1" applyFill="1" applyBorder="1"/>
    <xf numFmtId="164" fontId="0" fillId="13" borderId="1" xfId="0" applyNumberFormat="1" applyFill="1" applyBorder="1"/>
    <xf numFmtId="164" fontId="0" fillId="0" borderId="0" xfId="0" applyNumberFormat="1" applyFont="1" applyFill="1" applyBorder="1" applyAlignment="1"/>
    <xf numFmtId="0" fontId="9" fillId="11" borderId="0" xfId="0" applyNumberFormat="1" applyFont="1" applyFill="1" applyAlignment="1">
      <alignment horizontal="center"/>
    </xf>
    <xf numFmtId="0" fontId="13" fillId="6" borderId="6" xfId="0" applyNumberFormat="1" applyFont="1" applyFill="1" applyBorder="1" applyAlignment="1">
      <alignment wrapText="1"/>
    </xf>
    <xf numFmtId="0" fontId="13" fillId="6" borderId="0" xfId="0" applyNumberFormat="1" applyFont="1" applyFill="1" applyBorder="1" applyAlignment="1">
      <alignment wrapText="1"/>
    </xf>
    <xf numFmtId="0" fontId="0" fillId="5" borderId="30" xfId="0" applyNumberFormat="1" applyFont="1" applyFill="1" applyBorder="1" applyAlignment="1">
      <alignment wrapText="1"/>
    </xf>
    <xf numFmtId="0" fontId="0" fillId="5" borderId="6" xfId="0" applyNumberFormat="1" applyFont="1" applyFill="1" applyBorder="1" applyAlignment="1">
      <alignment wrapText="1"/>
    </xf>
    <xf numFmtId="0" fontId="1" fillId="5" borderId="6" xfId="0" applyNumberFormat="1" applyFont="1" applyFill="1" applyBorder="1" applyAlignment="1">
      <alignment wrapText="1"/>
    </xf>
    <xf numFmtId="0" fontId="1" fillId="5" borderId="7" xfId="0" applyNumberFormat="1" applyFont="1" applyFill="1" applyBorder="1" applyAlignment="1">
      <alignment wrapText="1"/>
    </xf>
    <xf numFmtId="0" fontId="0" fillId="5" borderId="7" xfId="0" applyNumberFormat="1" applyFont="1" applyFill="1" applyBorder="1" applyAlignment="1">
      <alignment wrapText="1"/>
    </xf>
    <xf numFmtId="0" fontId="0" fillId="21" borderId="6" xfId="0" applyNumberFormat="1" applyFont="1" applyFill="1" applyBorder="1" applyAlignment="1">
      <alignment wrapText="1"/>
    </xf>
    <xf numFmtId="0" fontId="0" fillId="24" borderId="5" xfId="0" applyNumberFormat="1" applyFont="1" applyFill="1" applyBorder="1" applyAlignment="1">
      <alignment wrapText="1"/>
    </xf>
    <xf numFmtId="0" fontId="0" fillId="25" borderId="5" xfId="0" applyNumberFormat="1" applyFont="1" applyFill="1" applyBorder="1" applyAlignment="1">
      <alignment wrapText="1"/>
    </xf>
    <xf numFmtId="0" fontId="0" fillId="0" borderId="15" xfId="0" applyNumberFormat="1" applyFont="1" applyFill="1" applyBorder="1" applyAlignment="1">
      <alignment wrapText="1"/>
    </xf>
    <xf numFmtId="0" fontId="0" fillId="25" borderId="12" xfId="0" applyNumberFormat="1" applyFont="1" applyFill="1" applyBorder="1" applyAlignment="1">
      <alignment wrapText="1"/>
    </xf>
    <xf numFmtId="0" fontId="2" fillId="25" borderId="33" xfId="0" applyNumberFormat="1" applyFont="1" applyFill="1" applyBorder="1" applyAlignment="1">
      <alignment wrapText="1"/>
    </xf>
    <xf numFmtId="0" fontId="2" fillId="25" borderId="34" xfId="0" applyNumberFormat="1" applyFont="1" applyFill="1" applyBorder="1" applyAlignment="1">
      <alignment wrapText="1"/>
    </xf>
    <xf numFmtId="0" fontId="2" fillId="24" borderId="34" xfId="0" applyNumberFormat="1" applyFont="1" applyFill="1" applyBorder="1" applyAlignment="1">
      <alignment wrapText="1"/>
    </xf>
    <xf numFmtId="0" fontId="2" fillId="24" borderId="35" xfId="0" applyNumberFormat="1" applyFont="1" applyFill="1" applyBorder="1" applyAlignment="1">
      <alignment wrapText="1"/>
    </xf>
    <xf numFmtId="0" fontId="0" fillId="24" borderId="20" xfId="0" applyNumberFormat="1" applyFont="1" applyFill="1" applyBorder="1" applyAlignment="1">
      <alignment wrapText="1"/>
    </xf>
    <xf numFmtId="0" fontId="2" fillId="25" borderId="35" xfId="0" applyNumberFormat="1" applyFont="1" applyFill="1" applyBorder="1" applyAlignment="1">
      <alignment wrapText="1"/>
    </xf>
    <xf numFmtId="0" fontId="0" fillId="24" borderId="12" xfId="0" applyNumberFormat="1" applyFont="1" applyFill="1" applyBorder="1" applyAlignment="1">
      <alignment wrapText="1"/>
    </xf>
    <xf numFmtId="0" fontId="0" fillId="25" borderId="20" xfId="0" applyNumberFormat="1" applyFont="1" applyFill="1" applyBorder="1" applyAlignment="1">
      <alignment wrapText="1"/>
    </xf>
    <xf numFmtId="49" fontId="4" fillId="26" borderId="36" xfId="0" applyNumberFormat="1" applyFont="1" applyFill="1" applyBorder="1"/>
    <xf numFmtId="0" fontId="4" fillId="26" borderId="36" xfId="0" applyFont="1" applyFill="1" applyBorder="1"/>
    <xf numFmtId="0" fontId="4" fillId="26" borderId="5" xfId="0" applyFont="1" applyFill="1" applyBorder="1"/>
    <xf numFmtId="49" fontId="5" fillId="26" borderId="10" xfId="0" applyNumberFormat="1" applyFont="1" applyFill="1" applyBorder="1" applyAlignment="1">
      <alignment vertical="center" wrapText="1"/>
    </xf>
    <xf numFmtId="0" fontId="5" fillId="26" borderId="10" xfId="0" applyFont="1" applyFill="1" applyBorder="1" applyAlignment="1">
      <alignment vertical="center" wrapText="1"/>
    </xf>
    <xf numFmtId="0" fontId="0" fillId="26" borderId="6" xfId="0" applyFill="1" applyBorder="1" applyAlignment="1">
      <alignment wrapText="1"/>
    </xf>
    <xf numFmtId="0" fontId="1" fillId="26" borderId="10" xfId="0" applyFont="1" applyFill="1" applyBorder="1" applyAlignment="1">
      <alignment wrapText="1"/>
    </xf>
    <xf numFmtId="49" fontId="4" fillId="27" borderId="36" xfId="0" applyNumberFormat="1" applyFont="1" applyFill="1" applyBorder="1"/>
    <xf numFmtId="0" fontId="4" fillId="27" borderId="36" xfId="0" applyFont="1" applyFill="1" applyBorder="1"/>
    <xf numFmtId="0" fontId="4" fillId="27" borderId="5" xfId="0" applyFont="1" applyFill="1" applyBorder="1"/>
    <xf numFmtId="49" fontId="5" fillId="27" borderId="10" xfId="0" applyNumberFormat="1" applyFont="1" applyFill="1" applyBorder="1" applyAlignment="1">
      <alignment vertical="center" wrapText="1"/>
    </xf>
    <xf numFmtId="0" fontId="0" fillId="27" borderId="6" xfId="0" applyFill="1" applyBorder="1" applyAlignment="1">
      <alignment wrapText="1"/>
    </xf>
    <xf numFmtId="0" fontId="0" fillId="21" borderId="6" xfId="0" applyFont="1" applyFill="1" applyBorder="1" applyAlignment="1">
      <alignment wrapText="1"/>
    </xf>
    <xf numFmtId="0" fontId="0" fillId="0" borderId="6" xfId="0" applyNumberFormat="1" applyFont="1" applyFill="1" applyBorder="1" applyAlignment="1">
      <alignment wrapText="1"/>
    </xf>
    <xf numFmtId="0" fontId="0" fillId="6" borderId="7" xfId="0" applyFont="1" applyFill="1" applyBorder="1" applyAlignment="1">
      <alignment wrapText="1"/>
    </xf>
    <xf numFmtId="49" fontId="3" fillId="6" borderId="37" xfId="1" applyNumberFormat="1" applyFill="1" applyBorder="1"/>
    <xf numFmtId="0" fontId="0" fillId="6" borderId="38" xfId="0" applyFont="1" applyFill="1" applyBorder="1" applyAlignment="1">
      <alignment wrapText="1"/>
    </xf>
    <xf numFmtId="0" fontId="0" fillId="6" borderId="39" xfId="0" applyNumberFormat="1" applyFont="1" applyFill="1" applyBorder="1" applyAlignment="1">
      <alignment wrapText="1"/>
    </xf>
    <xf numFmtId="0" fontId="13" fillId="4" borderId="2" xfId="0" applyNumberFormat="1" applyFont="1" applyFill="1" applyBorder="1" applyAlignment="1">
      <alignment wrapText="1"/>
    </xf>
    <xf numFmtId="0" fontId="3" fillId="4" borderId="2" xfId="1" quotePrefix="1" applyFill="1" applyBorder="1" applyAlignment="1">
      <alignment wrapText="1"/>
    </xf>
    <xf numFmtId="0" fontId="0" fillId="4" borderId="2" xfId="0" applyFont="1" applyFill="1" applyBorder="1" applyAlignment="1">
      <alignment wrapText="1"/>
    </xf>
    <xf numFmtId="0" fontId="3" fillId="4" borderId="3" xfId="1" quotePrefix="1" applyFill="1" applyBorder="1" applyAlignment="1">
      <alignment wrapText="1"/>
    </xf>
    <xf numFmtId="0" fontId="0" fillId="4" borderId="3" xfId="0" applyFont="1" applyFill="1" applyBorder="1" applyAlignment="1">
      <alignment wrapText="1"/>
    </xf>
    <xf numFmtId="49" fontId="5" fillId="20" borderId="6" xfId="0" applyNumberFormat="1" applyFont="1" applyFill="1" applyBorder="1" applyAlignment="1">
      <alignment vertical="center" wrapText="1"/>
    </xf>
    <xf numFmtId="0" fontId="5" fillId="20" borderId="6" xfId="0" applyFont="1" applyFill="1" applyBorder="1" applyAlignment="1">
      <alignment vertical="center" wrapText="1"/>
    </xf>
    <xf numFmtId="0" fontId="0" fillId="20" borderId="18" xfId="0" applyFill="1" applyBorder="1" applyAlignment="1">
      <alignment wrapText="1"/>
    </xf>
    <xf numFmtId="0" fontId="5" fillId="20" borderId="40" xfId="0" applyFont="1" applyFill="1" applyBorder="1" applyAlignment="1">
      <alignment vertical="center" wrapText="1"/>
    </xf>
    <xf numFmtId="0" fontId="0" fillId="21" borderId="7" xfId="0" applyFont="1" applyFill="1" applyBorder="1" applyAlignment="1">
      <alignment wrapText="1"/>
    </xf>
    <xf numFmtId="0" fontId="0" fillId="21" borderId="40" xfId="0" applyFill="1" applyBorder="1" applyAlignment="1">
      <alignment wrapText="1"/>
    </xf>
    <xf numFmtId="0" fontId="2" fillId="23" borderId="32" xfId="0" applyNumberFormat="1" applyFont="1" applyFill="1" applyBorder="1" applyAlignment="1">
      <alignment horizontal="center" wrapText="1"/>
    </xf>
    <xf numFmtId="0" fontId="2" fillId="23" borderId="18" xfId="0" applyNumberFormat="1" applyFont="1" applyFill="1" applyBorder="1" applyAlignment="1">
      <alignment horizontal="center" wrapText="1"/>
    </xf>
    <xf numFmtId="0" fontId="2" fillId="16" borderId="10" xfId="0" applyFont="1" applyFill="1" applyBorder="1" applyAlignment="1">
      <alignment horizontal="center"/>
    </xf>
    <xf numFmtId="0" fontId="2" fillId="16" borderId="0" xfId="0" applyFont="1" applyFill="1" applyBorder="1" applyAlignment="1">
      <alignment horizontal="center"/>
    </xf>
    <xf numFmtId="0" fontId="2" fillId="16" borderId="26" xfId="0" applyFont="1" applyFill="1" applyBorder="1" applyAlignment="1">
      <alignment horizontal="center"/>
    </xf>
    <xf numFmtId="0" fontId="2" fillId="17" borderId="15" xfId="0" applyFont="1" applyFill="1" applyBorder="1" applyAlignment="1">
      <alignment horizontal="center"/>
    </xf>
    <xf numFmtId="0" fontId="2" fillId="17" borderId="26" xfId="0" applyFont="1" applyFill="1" applyBorder="1" applyAlignment="1">
      <alignment horizontal="center"/>
    </xf>
    <xf numFmtId="0" fontId="2" fillId="7" borderId="8" xfId="0" applyFont="1" applyFill="1" applyBorder="1" applyAlignment="1">
      <alignment horizontal="center"/>
    </xf>
    <xf numFmtId="0" fontId="0" fillId="0" borderId="0" xfId="0" applyNumberFormat="1" applyFont="1" applyFill="1" applyBorder="1" applyAlignment="1"/>
    <xf numFmtId="0" fontId="0" fillId="0" borderId="0" xfId="0" applyNumberFormat="1" applyFont="1" applyFill="1" applyBorder="1" applyAlignment="1">
      <alignment wrapText="1"/>
    </xf>
    <xf numFmtId="0" fontId="2" fillId="4" borderId="27" xfId="0" applyFont="1" applyFill="1" applyBorder="1" applyAlignment="1">
      <alignment horizontal="center"/>
    </xf>
    <xf numFmtId="0" fontId="0" fillId="0" borderId="26" xfId="0" applyNumberFormat="1" applyFont="1" applyFill="1" applyBorder="1" applyAlignment="1"/>
    <xf numFmtId="0" fontId="2" fillId="3" borderId="15" xfId="0" applyFont="1" applyFill="1" applyBorder="1" applyAlignment="1">
      <alignment horizontal="center"/>
    </xf>
    <xf numFmtId="0" fontId="2" fillId="3" borderId="26" xfId="0" applyFont="1" applyFill="1" applyBorder="1" applyAlignment="1">
      <alignment horizontal="center"/>
    </xf>
    <xf numFmtId="0" fontId="2" fillId="15" borderId="8" xfId="0" applyFont="1" applyFill="1" applyBorder="1" applyAlignment="1">
      <alignment horizontal="center"/>
    </xf>
    <xf numFmtId="0" fontId="2" fillId="17" borderId="28" xfId="0" applyFont="1" applyFill="1" applyBorder="1" applyAlignment="1">
      <alignment horizontal="center"/>
    </xf>
    <xf numFmtId="0" fontId="2" fillId="17" borderId="0" xfId="0" applyFont="1" applyFill="1" applyBorder="1" applyAlignment="1">
      <alignment horizontal="center"/>
    </xf>
    <xf numFmtId="0" fontId="2" fillId="17" borderId="8" xfId="0" applyFont="1" applyFill="1" applyBorder="1" applyAlignment="1">
      <alignment horizontal="center"/>
    </xf>
    <xf numFmtId="0" fontId="2" fillId="3" borderId="28" xfId="0" applyFont="1" applyFill="1" applyBorder="1" applyAlignment="1">
      <alignment horizontal="center"/>
    </xf>
    <xf numFmtId="0" fontId="2" fillId="3" borderId="0" xfId="0" applyFont="1" applyFill="1" applyBorder="1" applyAlignment="1">
      <alignment horizontal="center"/>
    </xf>
    <xf numFmtId="0" fontId="2" fillId="20" borderId="28" xfId="0" applyFont="1" applyFill="1" applyBorder="1" applyAlignment="1">
      <alignment horizontal="center"/>
    </xf>
    <xf numFmtId="0" fontId="2" fillId="20" borderId="8" xfId="0" applyFont="1" applyFill="1" applyBorder="1" applyAlignment="1">
      <alignment horizontal="center"/>
    </xf>
  </cellXfs>
  <cellStyles count="2">
    <cellStyle name="Normal" xfId="0" builtinId="0"/>
    <cellStyle name="Обычный 2" xfId="1" xr:uid="{5A607783-E8B5-45F3-A9D7-3DC2D3626C4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8BD21D30-EC42-11CE-9E0D-00AA006002F3}" ax:persistence="persistStreamInit"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69850</xdr:colOff>
          <xdr:row>0</xdr:row>
          <xdr:rowOff>139700</xdr:rowOff>
        </xdr:from>
        <xdr:to>
          <xdr:col>0</xdr:col>
          <xdr:colOff>69850</xdr:colOff>
          <xdr:row>2</xdr:row>
          <xdr:rowOff>31750</xdr:rowOff>
        </xdr:to>
        <xdr:sp macro="" textlink="">
          <xdr:nvSpPr>
            <xdr:cNvPr id="1025" name="TempCombo"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control" Target="../activeX/activeX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F66D-9D80-4E2E-89D4-D161738188C6}">
  <sheetPr codeName="Sheet1"/>
  <dimension ref="A1:CF3"/>
  <sheetViews>
    <sheetView showFormulas="1" tabSelected="1" topLeftCell="X1" zoomScaleNormal="100" workbookViewId="0">
      <selection activeCell="Y5" sqref="Y5:Y641"/>
    </sheetView>
  </sheetViews>
  <sheetFormatPr defaultColWidth="9.08984375" defaultRowHeight="12.5" x14ac:dyDescent="0.25"/>
  <cols>
    <col min="1" max="1" width="15.54296875" customWidth="1"/>
    <col min="2" max="2" width="97.6328125" customWidth="1"/>
    <col min="3" max="4" width="12.90625" customWidth="1"/>
    <col min="5" max="5" width="30.08984375" customWidth="1"/>
    <col min="6" max="6" width="25.6328125" customWidth="1"/>
    <col min="7" max="7" width="16.453125" customWidth="1"/>
    <col min="8" max="8" width="12.36328125" customWidth="1"/>
    <col min="9" max="9" width="13.453125" style="143" customWidth="1"/>
    <col min="10" max="10" width="16.6328125" style="143" customWidth="1"/>
    <col min="11" max="12" width="17" customWidth="1"/>
    <col min="13" max="13" width="23.6328125" customWidth="1"/>
    <col min="14" max="14" width="28.54296875" customWidth="1"/>
    <col min="15" max="15" width="32.453125" customWidth="1"/>
    <col min="16" max="16" width="27.36328125" customWidth="1"/>
    <col min="17" max="17" width="28.36328125" customWidth="1"/>
    <col min="18" max="19" width="16.6328125" customWidth="1"/>
    <col min="20" max="20" width="23.453125" customWidth="1"/>
    <col min="21" max="21" width="19.453125" customWidth="1"/>
    <col min="22" max="22" width="23.36328125" customWidth="1"/>
    <col min="23" max="23" width="18" customWidth="1"/>
    <col min="24" max="28" width="27.90625" customWidth="1"/>
    <col min="29" max="29" width="23.6328125" customWidth="1"/>
    <col min="30" max="30" width="21" customWidth="1"/>
    <col min="31" max="31" width="19.54296875" customWidth="1"/>
    <col min="32" max="32" width="24.90625" customWidth="1"/>
    <col min="33" max="38" width="27.54296875" customWidth="1"/>
    <col min="39" max="39" width="20.90625" customWidth="1"/>
    <col min="40" max="40" width="18.08984375" customWidth="1"/>
    <col min="41" max="43" width="25.36328125" customWidth="1"/>
    <col min="44" max="44" width="22.90625" customWidth="1"/>
    <col min="45" max="45" width="24.90625" customWidth="1"/>
    <col min="46" max="46" width="27.54296875" customWidth="1"/>
    <col min="47" max="47" width="18.08984375" customWidth="1"/>
    <col min="48" max="48" width="25.36328125" customWidth="1"/>
    <col min="49" max="49" width="31.36328125" customWidth="1"/>
    <col min="50" max="50" width="27.54296875" customWidth="1"/>
    <col min="51" max="51" width="17.6328125" customWidth="1"/>
    <col min="52" max="52" width="30" customWidth="1"/>
    <col min="53" max="54" width="25.6328125" customWidth="1"/>
    <col min="55" max="55" width="29.90625" customWidth="1"/>
    <col min="56" max="56" width="12.08984375" customWidth="1"/>
    <col min="57" max="57" width="23.6328125" customWidth="1"/>
    <col min="58" max="58" width="6.36328125" customWidth="1"/>
    <col min="59" max="59" width="14.90625" customWidth="1"/>
    <col min="60" max="60" width="26" customWidth="1"/>
    <col min="61" max="61" width="25.453125" style="1" customWidth="1"/>
    <col min="62" max="62" width="27.90625" style="1" customWidth="1"/>
    <col min="63" max="63" width="27.6328125" style="1" customWidth="1"/>
    <col min="64" max="65" width="20.08984375" style="1" customWidth="1"/>
    <col min="66" max="66" width="24.90625" customWidth="1"/>
    <col min="67" max="67" width="27.54296875" customWidth="1"/>
    <col min="68" max="74" width="9.08984375" style="1"/>
    <col min="75" max="75" width="10.81640625" style="1" bestFit="1" customWidth="1"/>
    <col min="76" max="82" width="9.08984375" style="1"/>
    <col min="83" max="83" width="11.1796875" style="1" bestFit="1" customWidth="1"/>
    <col min="84" max="16384" width="9.08984375" style="1"/>
  </cols>
  <sheetData>
    <row r="1" spans="1:84" ht="13" x14ac:dyDescent="0.3">
      <c r="A1" s="196" t="s">
        <v>1708</v>
      </c>
      <c r="B1" s="197"/>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8"/>
      <c r="AC1" s="208" t="s">
        <v>1732</v>
      </c>
      <c r="AD1" s="202"/>
      <c r="AE1" s="208" t="s">
        <v>1709</v>
      </c>
      <c r="AF1" s="209" t="s">
        <v>1733</v>
      </c>
      <c r="AG1" s="210"/>
      <c r="AH1" s="210"/>
      <c r="AI1" s="210"/>
      <c r="AJ1" s="210"/>
      <c r="AK1" s="210"/>
      <c r="AL1" s="210"/>
      <c r="AM1" s="211"/>
      <c r="AN1" s="212" t="s">
        <v>2033</v>
      </c>
      <c r="AO1" s="213"/>
      <c r="AP1" s="213"/>
      <c r="AQ1" s="213"/>
      <c r="AR1" s="207"/>
      <c r="AS1" s="199" t="s">
        <v>2043</v>
      </c>
      <c r="AT1" s="200"/>
      <c r="AU1" s="206" t="s">
        <v>2045</v>
      </c>
      <c r="AV1" s="207"/>
      <c r="AW1" s="204" t="s">
        <v>1735</v>
      </c>
      <c r="AX1" s="205"/>
      <c r="AY1" s="201" t="s">
        <v>1736</v>
      </c>
      <c r="AZ1" s="202"/>
      <c r="BA1" s="202"/>
      <c r="BB1" s="202"/>
      <c r="BC1" s="202"/>
      <c r="BD1" s="202"/>
      <c r="BE1" s="202"/>
      <c r="BF1" s="202"/>
      <c r="BG1" s="202"/>
      <c r="BH1" s="202"/>
      <c r="BI1" s="203"/>
      <c r="BJ1" s="203"/>
      <c r="BK1" s="201" t="s">
        <v>1709</v>
      </c>
      <c r="BL1" s="214" t="s">
        <v>2062</v>
      </c>
      <c r="BM1" s="215"/>
      <c r="BN1" s="199" t="s">
        <v>2069</v>
      </c>
      <c r="BO1" s="200"/>
      <c r="BP1" s="194" t="s">
        <v>2154</v>
      </c>
      <c r="BQ1" s="195"/>
      <c r="BR1" s="195"/>
      <c r="BS1" s="195"/>
      <c r="BT1" s="195"/>
      <c r="BU1" s="195"/>
      <c r="BV1" s="195"/>
      <c r="BW1" s="195"/>
      <c r="BX1" s="195"/>
      <c r="BY1" s="195"/>
      <c r="BZ1" s="195"/>
      <c r="CA1" s="195"/>
      <c r="CB1" s="195"/>
      <c r="CC1" s="195"/>
      <c r="CD1" s="195"/>
      <c r="CE1" s="195"/>
      <c r="CF1" s="155"/>
    </row>
    <row r="2" spans="1:84" ht="17.399999999999999" customHeight="1" x14ac:dyDescent="0.3">
      <c r="A2" s="54" t="s">
        <v>1710</v>
      </c>
      <c r="B2" s="54" t="s">
        <v>1711</v>
      </c>
      <c r="C2" s="54" t="s">
        <v>1712</v>
      </c>
      <c r="D2" s="54" t="s">
        <v>1713</v>
      </c>
      <c r="E2" s="54" t="s">
        <v>1714</v>
      </c>
      <c r="F2" s="54" t="s">
        <v>1715</v>
      </c>
      <c r="G2" s="54" t="s">
        <v>1716</v>
      </c>
      <c r="H2" s="54" t="s">
        <v>1717</v>
      </c>
      <c r="I2" s="144" t="s">
        <v>1718</v>
      </c>
      <c r="J2" s="144" t="s">
        <v>1719</v>
      </c>
      <c r="K2" s="54" t="s">
        <v>1720</v>
      </c>
      <c r="L2" s="67" t="s">
        <v>2123</v>
      </c>
      <c r="M2" s="54" t="s">
        <v>1721</v>
      </c>
      <c r="N2" s="54" t="s">
        <v>1722</v>
      </c>
      <c r="O2" s="54" t="s">
        <v>1723</v>
      </c>
      <c r="P2" s="54" t="s">
        <v>1724</v>
      </c>
      <c r="Q2" s="54" t="s">
        <v>1725</v>
      </c>
      <c r="R2" s="54" t="s">
        <v>1726</v>
      </c>
      <c r="S2" s="67" t="s">
        <v>2124</v>
      </c>
      <c r="T2" s="54" t="s">
        <v>1727</v>
      </c>
      <c r="U2" s="54" t="s">
        <v>1728</v>
      </c>
      <c r="V2" s="54" t="s">
        <v>1729</v>
      </c>
      <c r="W2" s="54" t="s">
        <v>1730</v>
      </c>
      <c r="X2" s="110" t="s">
        <v>1731</v>
      </c>
      <c r="Y2" s="110" t="s">
        <v>2163</v>
      </c>
      <c r="Z2" s="110" t="s">
        <v>2058</v>
      </c>
      <c r="AA2" s="110" t="s">
        <v>2059</v>
      </c>
      <c r="AB2" s="135" t="s">
        <v>2117</v>
      </c>
      <c r="AC2" s="130" t="s">
        <v>2067</v>
      </c>
      <c r="AD2" s="130" t="s">
        <v>2068</v>
      </c>
      <c r="AE2" s="129" t="s">
        <v>2066</v>
      </c>
      <c r="AF2" s="55" t="s">
        <v>1734</v>
      </c>
      <c r="AG2" s="68" t="s">
        <v>1806</v>
      </c>
      <c r="AH2" s="68" t="s">
        <v>1807</v>
      </c>
      <c r="AI2" s="68" t="s">
        <v>1808</v>
      </c>
      <c r="AJ2" s="68" t="s">
        <v>2065</v>
      </c>
      <c r="AK2" s="68" t="s">
        <v>1809</v>
      </c>
      <c r="AL2" s="68" t="s">
        <v>1810</v>
      </c>
      <c r="AM2" s="69" t="s">
        <v>2097</v>
      </c>
      <c r="AN2" s="67" t="s">
        <v>2034</v>
      </c>
      <c r="AO2" s="67" t="s">
        <v>1806</v>
      </c>
      <c r="AP2" s="67" t="s">
        <v>2032</v>
      </c>
      <c r="AQ2" s="67" t="s">
        <v>2098</v>
      </c>
      <c r="AR2" s="112" t="s">
        <v>2116</v>
      </c>
      <c r="AS2" s="113" t="s">
        <v>2042</v>
      </c>
      <c r="AT2" s="116" t="s">
        <v>1806</v>
      </c>
      <c r="AU2" s="119" t="s">
        <v>2044</v>
      </c>
      <c r="AV2" s="108" t="s">
        <v>1806</v>
      </c>
      <c r="AW2" s="106" t="s">
        <v>2049</v>
      </c>
      <c r="AX2" s="109" t="s">
        <v>2048</v>
      </c>
      <c r="AY2" s="56" t="s">
        <v>1737</v>
      </c>
      <c r="AZ2" s="56" t="s">
        <v>1738</v>
      </c>
      <c r="BA2" s="56" t="s">
        <v>1739</v>
      </c>
      <c r="BB2" s="67" t="s">
        <v>2118</v>
      </c>
      <c r="BC2" s="56" t="s">
        <v>1740</v>
      </c>
      <c r="BD2" s="56" t="s">
        <v>1741</v>
      </c>
      <c r="BE2" s="56" t="s">
        <v>1742</v>
      </c>
      <c r="BF2" s="56" t="s">
        <v>1743</v>
      </c>
      <c r="BG2" s="56" t="s">
        <v>1744</v>
      </c>
      <c r="BH2" s="56" t="s">
        <v>1745</v>
      </c>
      <c r="BI2" s="56" t="s">
        <v>1746</v>
      </c>
      <c r="BJ2" s="56" t="s">
        <v>1747</v>
      </c>
      <c r="BK2" s="57" t="s">
        <v>1748</v>
      </c>
      <c r="BL2" s="110" t="s">
        <v>2063</v>
      </c>
      <c r="BM2" s="110" t="s">
        <v>2064</v>
      </c>
      <c r="BN2" s="123" t="s">
        <v>2061</v>
      </c>
      <c r="BO2" s="116" t="s">
        <v>2060</v>
      </c>
      <c r="BP2" s="160" t="s">
        <v>2138</v>
      </c>
      <c r="BQ2" s="159" t="s">
        <v>2139</v>
      </c>
      <c r="BR2" s="159" t="s">
        <v>2140</v>
      </c>
      <c r="BS2" s="159" t="s">
        <v>2141</v>
      </c>
      <c r="BT2" s="159" t="s">
        <v>2142</v>
      </c>
      <c r="BU2" s="159" t="s">
        <v>2143</v>
      </c>
      <c r="BV2" s="159" t="s">
        <v>2144</v>
      </c>
      <c r="BW2" s="159" t="s">
        <v>2145</v>
      </c>
      <c r="BX2" s="162" t="s">
        <v>2146</v>
      </c>
      <c r="BY2" s="158" t="s">
        <v>2147</v>
      </c>
      <c r="BZ2" s="158" t="s">
        <v>2148</v>
      </c>
      <c r="CA2" s="158" t="s">
        <v>2149</v>
      </c>
      <c r="CB2" s="158" t="s">
        <v>2150</v>
      </c>
      <c r="CC2" s="158" t="s">
        <v>2151</v>
      </c>
      <c r="CD2" s="158" t="s">
        <v>2152</v>
      </c>
      <c r="CE2" s="157" t="s">
        <v>2153</v>
      </c>
      <c r="CF2" s="155"/>
    </row>
    <row r="3" spans="1:84" ht="13.5" customHeight="1" x14ac:dyDescent="0.25">
      <c r="A3" s="58"/>
      <c r="B3" s="58"/>
      <c r="C3" s="59"/>
      <c r="D3" s="59"/>
      <c r="E3" s="59"/>
      <c r="F3" s="59"/>
      <c r="G3" s="59"/>
      <c r="H3" s="58"/>
      <c r="I3" s="142"/>
      <c r="J3" s="142"/>
      <c r="K3" s="58"/>
      <c r="L3" s="58"/>
      <c r="M3" s="58"/>
      <c r="N3" s="58"/>
      <c r="O3" s="58"/>
      <c r="P3" s="58"/>
      <c r="Q3" s="58"/>
      <c r="R3" s="58"/>
      <c r="S3" s="58"/>
      <c r="T3" s="58"/>
      <c r="U3" s="58"/>
      <c r="V3" s="58"/>
      <c r="W3" s="121"/>
      <c r="X3" s="134"/>
      <c r="Y3" s="134"/>
      <c r="Z3" s="134"/>
      <c r="AA3" s="134"/>
      <c r="AB3" s="137"/>
      <c r="AC3" s="131"/>
      <c r="AD3" s="60"/>
      <c r="AE3" s="60"/>
      <c r="AF3" s="63"/>
      <c r="AG3" s="62"/>
      <c r="AH3" s="88"/>
      <c r="AI3" s="62"/>
      <c r="AJ3" s="62"/>
      <c r="AK3" s="62"/>
      <c r="AL3" s="62"/>
      <c r="AM3" s="62"/>
      <c r="AN3" s="61"/>
      <c r="AO3" s="60"/>
      <c r="AP3" s="133"/>
      <c r="AQ3" s="133"/>
      <c r="AR3" s="115"/>
      <c r="AS3" s="114"/>
      <c r="AT3" s="117"/>
      <c r="AU3" s="120"/>
      <c r="AV3" s="118"/>
      <c r="AW3" s="65"/>
      <c r="AX3" s="64"/>
      <c r="AY3" s="66"/>
      <c r="AZ3" s="58"/>
      <c r="BA3" s="59"/>
      <c r="BB3" s="136"/>
      <c r="BC3" s="59"/>
      <c r="BD3" s="58"/>
      <c r="BE3" s="58"/>
      <c r="BF3" s="58"/>
      <c r="BG3" s="58"/>
      <c r="BH3" s="58"/>
      <c r="BI3" s="58"/>
      <c r="BJ3" s="58"/>
      <c r="BK3" s="121"/>
      <c r="BL3" s="122"/>
      <c r="BM3" s="124"/>
      <c r="BN3" s="125"/>
      <c r="BO3" s="126"/>
      <c r="BP3" s="161"/>
      <c r="BQ3" s="153"/>
      <c r="BR3" s="153"/>
      <c r="BS3" s="153"/>
      <c r="BT3" s="153"/>
      <c r="BU3" s="153"/>
      <c r="BV3" s="153"/>
      <c r="BW3" s="163"/>
      <c r="BX3" s="164"/>
      <c r="BY3" s="154"/>
      <c r="BZ3" s="154"/>
      <c r="CA3" s="154"/>
      <c r="CB3" s="154"/>
      <c r="CC3" s="154"/>
      <c r="CD3" s="154"/>
      <c r="CE3" s="156"/>
      <c r="CF3" s="155"/>
    </row>
  </sheetData>
  <mergeCells count="11">
    <mergeCell ref="BP1:CE1"/>
    <mergeCell ref="A1:AB1"/>
    <mergeCell ref="BN1:BO1"/>
    <mergeCell ref="AS1:AT1"/>
    <mergeCell ref="AY1:BK1"/>
    <mergeCell ref="AW1:AX1"/>
    <mergeCell ref="AU1:AV1"/>
    <mergeCell ref="AC1:AE1"/>
    <mergeCell ref="AF1:AM1"/>
    <mergeCell ref="AN1:AR1"/>
    <mergeCell ref="BL1:BM1"/>
  </mergeCells>
  <dataValidations count="20">
    <dataValidation type="list" allowBlank="1" showInputMessage="1" showErrorMessage="1" sqref="D3 AH1 AH3:AH65536 AD3:AD65536 AD1" xr:uid="{E0F20A5B-2631-4E5B-B6D4-D08662945607}">
      <formula1>PACKAGE_CODE</formula1>
    </dataValidation>
    <dataValidation type="list" allowBlank="1" showInputMessage="1" showErrorMessage="1" sqref="AJ1 AJ3:AJ65536" xr:uid="{0B5CA326-1186-4D6D-B58B-02A755E40338}">
      <formula1>Measure_Unit_Code</formula1>
    </dataValidation>
    <dataValidation type="decimal" operator="greaterThanOrEqual" allowBlank="1" showInputMessage="1" showErrorMessage="1" sqref="C3:F498 AE3:AE498" xr:uid="{8C09BA74-5F16-4BA7-88FA-7E94560E67D2}">
      <formula1>0</formula1>
    </dataValidation>
    <dataValidation type="decimal" operator="notEqual" allowBlank="1" showInputMessage="1" showErrorMessage="1" sqref="G3:G498 BA3:BC498" xr:uid="{FA116E0F-B744-4661-AE6A-436A30669BAD}">
      <formula1>1E+29</formula1>
    </dataValidation>
    <dataValidation type="list" allowBlank="1" showInputMessage="1" showErrorMessage="1" sqref="BG3:BG498 H3:H498" xr:uid="{5C9CA8AA-88B8-4D33-9C9B-6EAD221B8338}">
      <formula1>CURRENCY_CODE</formula1>
    </dataValidation>
    <dataValidation type="decimal" operator="lessThanOrEqual" allowBlank="1" showInputMessage="1" showErrorMessage="1" sqref="I3:I498" xr:uid="{8E6D8C16-A7C3-4A40-A31A-A51745D1B8D1}">
      <formula1>$J3</formula1>
    </dataValidation>
    <dataValidation type="decimal" operator="greaterThanOrEqual" allowBlank="1" showInputMessage="1" showErrorMessage="1" sqref="J3:J498" xr:uid="{8056AA55-3905-499A-B686-997CFE2F367F}">
      <formula1>$I3</formula1>
    </dataValidation>
    <dataValidation type="list" allowBlank="1" showInputMessage="1" showErrorMessage="1" sqref="T3:T498 M3:M498 BL3:BM3500 AQ1 AQ3:AQ65536 BU1 BU3:BU1048576 CC1 CC3:CC1048576" xr:uid="{BB33D864-3C73-40D6-A9E4-24BB2D1318D3}">
      <formula1>COUNTRY_CODE</formula1>
    </dataValidation>
    <dataValidation type="list" allowBlank="1" showInputMessage="1" showErrorMessage="1" sqref="AF3:AF498" xr:uid="{2456DB5E-CC4C-479D-A06F-1982599D05BC}">
      <formula1>PREVIOUS_DOCUMENT_TYPE_CODE</formula1>
    </dataValidation>
    <dataValidation type="list" allowBlank="1" showInputMessage="1" showErrorMessage="1" sqref="AW3:AW498" xr:uid="{C0FB74E3-B50C-4EC3-A641-F4AA604DD747}">
      <formula1>ADDITIONAL_INFO_IDENT_CODE</formula1>
    </dataValidation>
    <dataValidation type="list" allowBlank="1" showInputMessage="1" showErrorMessage="1" sqref="BE3:BE498" xr:uid="{6957BF27-6062-4656-AFD0-F8379F5EBCFC}">
      <formula1>Export_From_EU</formula1>
    </dataValidation>
    <dataValidation type="list" allowBlank="1" showInputMessage="1" showErrorMessage="1" sqref="AN1 AN3:AN65536" xr:uid="{EF2691FF-F4A1-483F-9C58-62E7493749F3}">
      <formula1>DOCUMENT_TYPE_CODE</formula1>
    </dataValidation>
    <dataValidation type="list" allowBlank="1" showInputMessage="1" showErrorMessage="1" sqref="AY3:AY498" xr:uid="{B7F9BB68-00C0-40BE-84B2-B076BD5E21AB}">
      <formula1>DISCHARGING_DECLARATION_CODE</formula1>
    </dataValidation>
    <dataValidation type="list" allowBlank="1" showInputMessage="1" showErrorMessage="1" sqref="BH3:BH498" xr:uid="{E1F9EA3A-68F0-4950-980E-023FF1B41995}">
      <formula1>DELIVERY_TERMS_CODE</formula1>
    </dataValidation>
    <dataValidation type="list" allowBlank="1" showInputMessage="1" showErrorMessage="1" sqref="BI3:BI498" xr:uid="{ED46C86B-4EA8-43AB-A3E8-AD0171AE1285}">
      <formula1>PAYMENT_TYPE_CODE</formula1>
    </dataValidation>
    <dataValidation type="list" allowBlank="1" showInputMessage="1" showErrorMessage="1" sqref="BJ3:BJ498" xr:uid="{B1FB30FF-E5D8-4CF4-B296-442F216435BC}">
      <formula1>TRANSACTION_TYPE_CODE</formula1>
    </dataValidation>
    <dataValidation type="list" allowBlank="1" showInputMessage="1" showErrorMessage="1" sqref="BK3:BK498" xr:uid="{5AA2F573-9D82-430D-B7EC-6B1F02323D44}">
      <formula1>COUNTRY_TRADE_CODE</formula1>
    </dataValidation>
    <dataValidation type="list" allowBlank="1" showInputMessage="1" showErrorMessage="1" sqref="AS1 AS3:AS65536" xr:uid="{6E86810C-6D52-4F9C-AD3B-8FA84DBF5B29}">
      <formula1>Transport_Document_Code</formula1>
    </dataValidation>
    <dataValidation type="list" allowBlank="1" showInputMessage="1" showErrorMessage="1" sqref="AU1 AU3:AU65536" xr:uid="{5070504F-A100-4F6E-BF2B-92F93F062BCB}">
      <formula1>Additional_Reference_Code</formula1>
    </dataValidation>
    <dataValidation type="list" allowBlank="1" showInputMessage="1" showErrorMessage="1" sqref="BY1 BY3:BY1048576 BQ1 BQ3:BQ1048576" xr:uid="{D79C4CF0-E54F-4CDA-8C10-767B1B56B6A6}">
      <formula1>Person_Type_Code</formula1>
    </dataValidation>
  </dataValidations>
  <pageMargins left="0.75" right="0.75" top="1" bottom="1" header="0.5" footer="0.5"/>
  <pageSetup paperSize="9" scale="10" firstPageNumber="0" fitToWidth="0" fitToHeight="0" pageOrder="overThenDown" orientation="portrait" horizontalDpi="300" verticalDpi="300" r:id="rId1"/>
  <headerFooter alignWithMargins="0"/>
  <drawing r:id="rId2"/>
  <legacyDrawing r:id="rId3"/>
  <controls>
    <mc:AlternateContent xmlns:mc="http://schemas.openxmlformats.org/markup-compatibility/2006">
      <mc:Choice Requires="x14">
        <control shapeId="1025" r:id="rId4" name="TempCombo">
          <controlPr autoLine="0" autoPict="0" r:id="rId5">
            <anchor moveWithCells="1">
              <from>
                <xdr:col>0</xdr:col>
                <xdr:colOff>69850</xdr:colOff>
                <xdr:row>0</xdr:row>
                <xdr:rowOff>139700</xdr:rowOff>
              </from>
              <to>
                <xdr:col>0</xdr:col>
                <xdr:colOff>69850</xdr:colOff>
                <xdr:row>2</xdr:row>
                <xdr:rowOff>31750</xdr:rowOff>
              </to>
            </anchor>
          </controlPr>
        </control>
      </mc:Choice>
      <mc:Fallback>
        <control shapeId="1025" r:id="rId4" name="TempCombo"/>
      </mc:Fallback>
    </mc:AlternateContent>
  </controls>
  <extLst>
    <ext xmlns:x14="http://schemas.microsoft.com/office/spreadsheetml/2009/9/main" uri="{CCE6A557-97BC-4b89-ADB6-D9C93CAAB3DF}">
      <x14:dataValidations xmlns:xm="http://schemas.microsoft.com/office/excel/2006/main" count="1">
        <x14:dataValidation type="list" allowBlank="1" showInputMessage="1" showErrorMessage="1" xr:uid="{F0FED26C-40A8-44FB-AD03-4C9243EF5668}">
          <x14:formula1>
            <xm:f>documentation!$BQ$2:$BQ$4</xm:f>
          </x14:formula1>
          <xm:sqref>Y3:Y641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EE0A-85BF-48B3-A333-421FFAE7C5E9}">
  <sheetPr codeName="Sheet2"/>
  <dimension ref="A1:BR444"/>
  <sheetViews>
    <sheetView topLeftCell="BH1" workbookViewId="0">
      <selection activeCell="BP3" sqref="BP3:BR3"/>
    </sheetView>
  </sheetViews>
  <sheetFormatPr defaultColWidth="9.08984375" defaultRowHeight="12.5" x14ac:dyDescent="0.25"/>
  <cols>
    <col min="1" max="1" width="8.90625" customWidth="1"/>
    <col min="2" max="2" width="15.36328125" style="2" bestFit="1" customWidth="1"/>
    <col min="3" max="3" width="46.08984375" style="2" customWidth="1"/>
    <col min="4" max="4" width="40.90625" style="2" customWidth="1"/>
    <col min="5" max="5" width="16.08984375" customWidth="1"/>
    <col min="6" max="6" width="16.36328125" style="21" bestFit="1" customWidth="1"/>
    <col min="7" max="7" width="27" style="21" bestFit="1" customWidth="1"/>
    <col min="8" max="8" width="29.36328125" style="21" customWidth="1"/>
    <col min="9" max="9" width="9.08984375" style="1"/>
    <col min="10" max="10" width="22.6328125" style="7" bestFit="1" customWidth="1"/>
    <col min="11" max="11" width="46.453125" style="7" customWidth="1"/>
    <col min="12" max="12" width="39.36328125" style="7" customWidth="1"/>
    <col min="13" max="13" width="9.08984375" style="1"/>
    <col min="14" max="14" width="16.6328125" style="9" bestFit="1" customWidth="1"/>
    <col min="15" max="15" width="24.453125" style="9" bestFit="1" customWidth="1"/>
    <col min="16" max="16" width="34.453125" style="9" bestFit="1" customWidth="1"/>
    <col min="17" max="17" width="9.08984375" style="1"/>
    <col min="18" max="18" width="32.90625" style="14" bestFit="1" customWidth="1"/>
    <col min="19" max="19" width="32.90625" style="14" customWidth="1"/>
    <col min="20" max="20" width="95.6328125" style="14" customWidth="1"/>
    <col min="21" max="21" width="9.08984375" style="1"/>
    <col min="22" max="22" width="33.36328125" style="1" customWidth="1"/>
    <col min="23" max="23" width="108.6328125" style="1" customWidth="1"/>
    <col min="24" max="24" width="115.6328125" style="1" customWidth="1"/>
    <col min="25" max="25" width="9.08984375" style="1"/>
    <col min="26" max="26" width="30.36328125" style="1" bestFit="1" customWidth="1"/>
    <col min="27" max="27" width="34" style="1" bestFit="1" customWidth="1"/>
    <col min="28" max="28" width="33.36328125" style="1" bestFit="1" customWidth="1"/>
    <col min="29" max="29" width="9.08984375" style="1"/>
    <col min="30" max="30" width="19.6328125" style="1" customWidth="1"/>
    <col min="31" max="31" width="9.08984375" style="1"/>
    <col min="32" max="32" width="29.08984375" style="7" customWidth="1"/>
    <col min="33" max="33" width="46.453125" style="7" customWidth="1"/>
    <col min="34" max="34" width="32.90625" style="7" customWidth="1"/>
    <col min="35" max="36" width="9.08984375" style="1"/>
    <col min="37" max="38" width="23" style="1" bestFit="1" customWidth="1"/>
    <col min="39" max="39" width="9.08984375" style="1"/>
    <col min="40" max="40" width="9.08984375" style="50"/>
    <col min="41" max="41" width="34" style="1" bestFit="1" customWidth="1"/>
    <col min="42" max="42" width="36.54296875" style="1" bestFit="1" customWidth="1"/>
    <col min="43" max="43" width="9.08984375" style="1"/>
    <col min="44" max="44" width="9.08984375" style="50"/>
    <col min="45" max="45" width="29" style="1" customWidth="1"/>
    <col min="46" max="46" width="75.54296875" style="1" customWidth="1"/>
    <col min="47" max="47" width="9.08984375" style="1"/>
    <col min="48" max="48" width="14" style="48" bestFit="1" customWidth="1"/>
    <col min="49" max="49" width="36.90625" style="38" bestFit="1" customWidth="1"/>
    <col min="50" max="50" width="29.453125" style="1" customWidth="1"/>
    <col min="51" max="52" width="9.08984375" style="1"/>
    <col min="53" max="53" width="54.08984375" style="1" customWidth="1"/>
    <col min="54" max="54" width="59.453125" style="1" customWidth="1"/>
    <col min="55" max="55" width="9.08984375" style="1"/>
    <col min="56" max="56" width="9.08984375" style="1" customWidth="1"/>
    <col min="57" max="57" width="20.453125" style="1" customWidth="1"/>
    <col min="58" max="58" width="27" style="1" customWidth="1"/>
    <col min="59" max="60" width="9.08984375" style="1"/>
    <col min="61" max="61" width="49.54296875" style="1" customWidth="1"/>
    <col min="62" max="62" width="54.54296875" style="1" customWidth="1"/>
    <col min="63" max="64" width="9.08984375" style="1"/>
    <col min="65" max="65" width="22" style="1" customWidth="1"/>
    <col min="66" max="66" width="21" style="1" customWidth="1"/>
    <col min="67" max="67" width="9.08984375" style="1"/>
    <col min="68" max="68" width="5.36328125" style="1" bestFit="1" customWidth="1"/>
    <col min="69" max="69" width="15.1796875" style="1" bestFit="1" customWidth="1"/>
    <col min="70" max="70" width="21.36328125" style="1" bestFit="1" customWidth="1"/>
    <col min="71" max="16384" width="9.08984375" style="1"/>
  </cols>
  <sheetData>
    <row r="1" spans="2:70" ht="14.5" x14ac:dyDescent="0.35">
      <c r="B1" s="80" t="s">
        <v>3</v>
      </c>
      <c r="C1" s="80" t="s">
        <v>4</v>
      </c>
      <c r="D1" s="77" t="s">
        <v>3</v>
      </c>
      <c r="F1" s="3" t="s">
        <v>201</v>
      </c>
      <c r="G1" s="3" t="s">
        <v>202</v>
      </c>
      <c r="H1" s="3" t="s">
        <v>201</v>
      </c>
      <c r="J1" s="5" t="s">
        <v>203</v>
      </c>
      <c r="K1" s="5" t="s">
        <v>204</v>
      </c>
      <c r="L1" s="5" t="s">
        <v>203</v>
      </c>
      <c r="N1" s="8" t="s">
        <v>205</v>
      </c>
      <c r="O1" s="8" t="s">
        <v>206</v>
      </c>
      <c r="P1" s="8" t="s">
        <v>205</v>
      </c>
      <c r="R1" s="11" t="s">
        <v>259</v>
      </c>
      <c r="S1" s="11" t="s">
        <v>260</v>
      </c>
      <c r="T1" s="11" t="s">
        <v>259</v>
      </c>
      <c r="V1" s="15" t="s">
        <v>264</v>
      </c>
      <c r="W1" s="15" t="s">
        <v>265</v>
      </c>
      <c r="X1" s="15" t="s">
        <v>264</v>
      </c>
      <c r="Z1" s="18" t="s">
        <v>266</v>
      </c>
      <c r="AA1" s="18" t="s">
        <v>267</v>
      </c>
      <c r="AB1" s="18" t="s">
        <v>266</v>
      </c>
      <c r="AD1" s="25" t="s">
        <v>360</v>
      </c>
      <c r="AF1" s="5" t="s">
        <v>432</v>
      </c>
      <c r="AG1" s="5" t="s">
        <v>204</v>
      </c>
      <c r="AH1" s="5" t="s">
        <v>432</v>
      </c>
      <c r="AJ1" s="35" t="s">
        <v>1514</v>
      </c>
      <c r="AK1" s="35" t="s">
        <v>1574</v>
      </c>
      <c r="AL1" s="35" t="s">
        <v>1575</v>
      </c>
      <c r="AN1" s="51" t="s">
        <v>1514</v>
      </c>
      <c r="AO1" s="36" t="s">
        <v>1591</v>
      </c>
      <c r="AP1" s="36" t="s">
        <v>1592</v>
      </c>
      <c r="AR1" s="49" t="s">
        <v>1514</v>
      </c>
      <c r="AS1" s="30" t="s">
        <v>1589</v>
      </c>
      <c r="AT1" s="30" t="s">
        <v>1590</v>
      </c>
      <c r="AV1" s="47" t="s">
        <v>1514</v>
      </c>
      <c r="AW1" s="39" t="s">
        <v>1671</v>
      </c>
      <c r="AX1" s="39" t="s">
        <v>1672</v>
      </c>
      <c r="AZ1" s="85" t="s">
        <v>1514</v>
      </c>
      <c r="BA1" s="86" t="s">
        <v>1885</v>
      </c>
      <c r="BB1" s="87" t="s">
        <v>1886</v>
      </c>
      <c r="BD1" s="90" t="s">
        <v>1514</v>
      </c>
      <c r="BE1" s="91" t="s">
        <v>2035</v>
      </c>
      <c r="BF1" s="92" t="s">
        <v>2036</v>
      </c>
      <c r="BH1" s="97" t="s">
        <v>1514</v>
      </c>
      <c r="BI1" s="98" t="s">
        <v>2046</v>
      </c>
      <c r="BJ1" s="99" t="s">
        <v>2047</v>
      </c>
      <c r="BL1" s="165" t="s">
        <v>1514</v>
      </c>
      <c r="BM1" s="166" t="s">
        <v>2155</v>
      </c>
      <c r="BN1" s="167" t="s">
        <v>2156</v>
      </c>
      <c r="BP1" s="172" t="s">
        <v>1514</v>
      </c>
      <c r="BQ1" s="173" t="s">
        <v>2161</v>
      </c>
      <c r="BR1" s="174" t="s">
        <v>2162</v>
      </c>
    </row>
    <row r="2" spans="2:70" ht="25.25" customHeight="1" x14ac:dyDescent="0.35">
      <c r="B2" s="78" t="s">
        <v>101</v>
      </c>
      <c r="C2" s="79" t="s">
        <v>5</v>
      </c>
      <c r="D2" s="72" t="str">
        <f t="shared" ref="D2:D33" si="0">CONCATENATE(B2,"-",C2)</f>
        <v>1A-Drum, steel</v>
      </c>
      <c r="F2" s="4" t="s">
        <v>311</v>
      </c>
      <c r="G2" s="4" t="s">
        <v>1349</v>
      </c>
      <c r="H2" s="4" t="str">
        <f t="shared" ref="H2:H65" si="1">CONCATENATE(F2,"-",G2)</f>
        <v>USD-US Dollar</v>
      </c>
      <c r="J2" s="22" t="s">
        <v>1753</v>
      </c>
      <c r="K2" s="89" t="s">
        <v>1998</v>
      </c>
      <c r="L2" s="6" t="str">
        <f t="shared" ref="L2:L58" si="2">CONCATENATE(J2,"-",K2)</f>
        <v>C651-Accompanying administrative document</v>
      </c>
      <c r="N2" s="9" t="s">
        <v>125</v>
      </c>
      <c r="O2" s="29" t="s">
        <v>274</v>
      </c>
      <c r="P2" s="147" t="str">
        <f t="shared" ref="P2:P67" si="3">CONCATENATE(N2,"-",O2)</f>
        <v>AD-Andorra</v>
      </c>
      <c r="R2" s="12" t="s">
        <v>1749</v>
      </c>
      <c r="S2" s="12" t="s">
        <v>1786</v>
      </c>
      <c r="T2" s="12" t="str">
        <f t="shared" ref="T2:T33" si="4">CONCATENATE(R2,"-",S2)</f>
        <v>C512-SDE - Authorisation to use simplified declaration (Column 7a, Annex A of Delegated Regulation (EU) 2015/2446)</v>
      </c>
      <c r="V2" s="16" t="s">
        <v>2050</v>
      </c>
      <c r="W2" s="16" t="s">
        <v>2054</v>
      </c>
      <c r="X2" s="107" t="str">
        <f t="shared" ref="X2:X7" si="5">CONCATENATE(V2,"-",W2)</f>
        <v>20300-Export</v>
      </c>
      <c r="Z2" s="19" t="s">
        <v>223</v>
      </c>
      <c r="AA2" s="19" t="s">
        <v>270</v>
      </c>
      <c r="AB2" s="19" t="str">
        <f>CONCATENATE(Z2,"-",AA2)</f>
        <v>AN-Entrepot Declaration Discharging</v>
      </c>
      <c r="AD2" s="26" t="s">
        <v>358</v>
      </c>
      <c r="AF2" s="22" t="s">
        <v>361</v>
      </c>
      <c r="AG2" s="22" t="s">
        <v>357</v>
      </c>
      <c r="AH2" s="6" t="str">
        <f t="shared" ref="AH2:AH40" si="6">CONCATENATE(AF2,"-",AG2)</f>
        <v>02015-CMR</v>
      </c>
      <c r="AJ2" s="33" t="s">
        <v>1544</v>
      </c>
      <c r="AK2" s="33" t="s">
        <v>1545</v>
      </c>
      <c r="AL2" s="34" t="str">
        <f>CONCATENATE(AJ2,"-",AK2)</f>
        <v>CFR-	Cost and Freight</v>
      </c>
      <c r="AN2" s="52" t="s">
        <v>1673</v>
      </c>
      <c r="AO2" s="37" t="s">
        <v>1576</v>
      </c>
      <c r="AP2" s="37" t="str">
        <f>CONCATENATE(AN2,"-",AO2)</f>
        <v>1-Cash Against Goods</v>
      </c>
      <c r="AR2" s="46" t="s">
        <v>1677</v>
      </c>
      <c r="AS2" s="31" t="s">
        <v>1515</v>
      </c>
      <c r="AT2" s="32" t="str">
        <f>CONCATENATE(AR2,"-",AS2)</f>
        <v>11-Transactions in which the Property of the Goods has been transferred in monetary or other terms - Direct Purchase or Sale</v>
      </c>
      <c r="AV2" s="42" t="s">
        <v>1593</v>
      </c>
      <c r="AW2" s="40" t="s">
        <v>1632</v>
      </c>
      <c r="AX2" s="41" t="str">
        <f>CONCATENATE(AV2,"-",AW2)</f>
        <v>F01-ANTALYA FREE ZONE</v>
      </c>
      <c r="AZ2" s="74" t="s">
        <v>1887</v>
      </c>
      <c r="BA2" s="82" t="s">
        <v>1925</v>
      </c>
      <c r="BB2" s="83" t="str">
        <f>CONCATENATE(AZ2,"-",BA2)</f>
        <v>ASV-%vol</v>
      </c>
      <c r="BD2" s="93" t="s">
        <v>1770</v>
      </c>
      <c r="BE2" s="94" t="s">
        <v>419</v>
      </c>
      <c r="BF2" s="95" t="str">
        <f>CONCATENATE(BD2,"-",BE2)</f>
        <v>N740-Air waybill</v>
      </c>
      <c r="BH2" s="100" t="s">
        <v>2202</v>
      </c>
      <c r="BI2" s="101" t="s">
        <v>2203</v>
      </c>
      <c r="BJ2" s="102" t="str">
        <f>CONCATENATE(BH2,"-",BI2)</f>
        <v>Y910-Bigeye tuna taken by seiners or baitboats and intended mainly for the canning industry in the areas of application of the Agreement for the establishment of the Indian Ocean Tuna Commission (IOTC Agreement) and the ICCAT Convention.</v>
      </c>
      <c r="BL2" s="168" t="s">
        <v>1673</v>
      </c>
      <c r="BM2" s="169" t="s">
        <v>2157</v>
      </c>
      <c r="BN2" s="170" t="str">
        <f>CONCATENATE(BL2,"-",BM2)</f>
        <v>1-Natural person</v>
      </c>
      <c r="BP2" s="175"/>
      <c r="BQ2" s="175"/>
      <c r="BR2" s="176"/>
    </row>
    <row r="3" spans="2:70" ht="15" customHeight="1" x14ac:dyDescent="0.35">
      <c r="B3" s="78" t="s">
        <v>102</v>
      </c>
      <c r="C3" s="79" t="s">
        <v>6</v>
      </c>
      <c r="D3" s="72" t="str">
        <f t="shared" si="0"/>
        <v>1B-Drum, aluminium</v>
      </c>
      <c r="F3" s="4" t="s">
        <v>1280</v>
      </c>
      <c r="G3" s="4" t="s">
        <v>1350</v>
      </c>
      <c r="H3" s="4" t="str">
        <f t="shared" si="1"/>
        <v>AFN-Afghanistan Afghani</v>
      </c>
      <c r="J3" s="22" t="s">
        <v>1964</v>
      </c>
      <c r="K3" s="89" t="s">
        <v>1999</v>
      </c>
      <c r="L3" s="6" t="str">
        <f t="shared" si="2"/>
        <v>L001-AGRIM Import Certificate</v>
      </c>
      <c r="N3" s="9" t="s">
        <v>220</v>
      </c>
      <c r="O3" s="29" t="s">
        <v>275</v>
      </c>
      <c r="P3" s="147" t="str">
        <f t="shared" si="3"/>
        <v>AE-United Arab Emirates</v>
      </c>
      <c r="R3" s="12" t="s">
        <v>1750</v>
      </c>
      <c r="S3" s="12" t="s">
        <v>353</v>
      </c>
      <c r="T3" s="12" t="str">
        <f t="shared" si="4"/>
        <v>C605-Information sheet INF3</v>
      </c>
      <c r="V3" s="16" t="s">
        <v>2051</v>
      </c>
      <c r="W3" s="16" t="s">
        <v>2055</v>
      </c>
      <c r="X3" s="107" t="str">
        <f t="shared" si="5"/>
        <v>20200-Export from one EFTA country subject to duties or export from the Union subject to duties</v>
      </c>
      <c r="Z3" s="19" t="s">
        <v>268</v>
      </c>
      <c r="AA3" s="19" t="s">
        <v>271</v>
      </c>
      <c r="AB3" s="19" t="str">
        <f>CONCATENATE(Z3,"-",AA3)</f>
        <v>02-Part of the Summary Declaration</v>
      </c>
      <c r="AD3" s="27" t="s">
        <v>359</v>
      </c>
      <c r="AF3" s="22" t="s">
        <v>362</v>
      </c>
      <c r="AG3" s="22" t="s">
        <v>400</v>
      </c>
      <c r="AH3" s="6" t="str">
        <f t="shared" si="6"/>
        <v>04021-Invoice</v>
      </c>
      <c r="AJ3" s="33" t="s">
        <v>1546</v>
      </c>
      <c r="AK3" s="33" t="s">
        <v>1547</v>
      </c>
      <c r="AL3" s="34" t="str">
        <f t="shared" ref="AL3:AL17" si="7">CONCATENATE(AJ3,"-",AK3)</f>
        <v>CIF-Cost, Insurance and Freight</v>
      </c>
      <c r="AN3" s="52" t="s">
        <v>354</v>
      </c>
      <c r="AO3" s="37" t="s">
        <v>1577</v>
      </c>
      <c r="AP3" s="37" t="str">
        <f t="shared" ref="AP3:AP14" si="8">CONCATENATE(AN3,"-",AO3)</f>
        <v>2-Cash Payment</v>
      </c>
      <c r="AR3" s="46" t="s">
        <v>1678</v>
      </c>
      <c r="AS3" s="32" t="s">
        <v>1516</v>
      </c>
      <c r="AT3" s="32" t="str">
        <f t="shared" ref="AT3:AT30" si="9">CONCATENATE(AR3,"-",AS3)</f>
        <v>12-Transactions in which the Property of the Goods has been transferred in monetary or other terms - Consignment Sales or Broker Sales</v>
      </c>
      <c r="AV3" s="42" t="s">
        <v>1594</v>
      </c>
      <c r="AW3" s="40" t="s">
        <v>1633</v>
      </c>
      <c r="AX3" s="41" t="str">
        <f t="shared" ref="AX3:AX40" si="10">CONCATENATE(AV3,"-",AW3)</f>
        <v>F02-AHL FREE ZONE</v>
      </c>
      <c r="AZ3" s="74" t="s">
        <v>1888</v>
      </c>
      <c r="BA3" s="76" t="s">
        <v>1926</v>
      </c>
      <c r="BB3" s="83" t="str">
        <f>CONCATENATE(AZ3,"-",BA3)</f>
        <v>ASVX-%vol per hectolitre</v>
      </c>
      <c r="BD3" s="93" t="s">
        <v>1782</v>
      </c>
      <c r="BE3" s="96" t="s">
        <v>352</v>
      </c>
      <c r="BF3" s="95" t="str">
        <f t="shared" ref="BF3:BF18" si="11">CONCATENATE(BD3,"-",BE3)</f>
        <v>N955-ATA carnet</v>
      </c>
      <c r="BH3" s="100" t="s">
        <v>2204</v>
      </c>
      <c r="BI3" s="103" t="s">
        <v>2205</v>
      </c>
      <c r="BJ3" s="102" t="str">
        <f t="shared" ref="BJ3:BJ53" si="12">CONCATENATE(BH3,"-",BI3)</f>
        <v>Y028-Carrier (AEO certificate number)</v>
      </c>
      <c r="BL3" s="168" t="s">
        <v>354</v>
      </c>
      <c r="BM3" s="171" t="s">
        <v>2158</v>
      </c>
      <c r="BN3" s="170" t="str">
        <f t="shared" ref="BN3:BN4" si="13">CONCATENATE(BL3,"-",BM3)</f>
        <v>2-Legal person</v>
      </c>
      <c r="BP3" s="175" t="s">
        <v>261</v>
      </c>
      <c r="BQ3" s="175" t="s">
        <v>261</v>
      </c>
      <c r="BR3" s="176" t="str">
        <f>CONCATENATE(BP3,"-",BQ3)</f>
        <v>T1-T1</v>
      </c>
    </row>
    <row r="4" spans="2:70" ht="15" customHeight="1" x14ac:dyDescent="0.35">
      <c r="B4" s="78" t="s">
        <v>103</v>
      </c>
      <c r="C4" s="79" t="s">
        <v>7</v>
      </c>
      <c r="D4" s="72" t="str">
        <f t="shared" si="0"/>
        <v>1D-Drum, plywood</v>
      </c>
      <c r="F4" s="4" t="s">
        <v>1281</v>
      </c>
      <c r="G4" s="4" t="s">
        <v>1351</v>
      </c>
      <c r="H4" s="4" t="str">
        <f t="shared" si="1"/>
        <v>XAU-Gold (oz.)</v>
      </c>
      <c r="J4" s="22" t="s">
        <v>1965</v>
      </c>
      <c r="K4" s="89" t="s">
        <v>2000</v>
      </c>
      <c r="L4" s="6" t="str">
        <f t="shared" si="2"/>
        <v>N852-Analysis and health certificate</v>
      </c>
      <c r="N4" s="9" t="s">
        <v>126</v>
      </c>
      <c r="O4" s="29" t="s">
        <v>276</v>
      </c>
      <c r="P4" s="147" t="str">
        <f t="shared" si="3"/>
        <v>AF-Afghanistan</v>
      </c>
      <c r="R4" s="13" t="s">
        <v>1751</v>
      </c>
      <c r="S4" s="13" t="s">
        <v>1787</v>
      </c>
      <c r="T4" s="12" t="str">
        <f t="shared" si="4"/>
        <v>C612-Internal Community transit Declaration — Article 227 of the Code</v>
      </c>
      <c r="V4" s="16" t="s">
        <v>2052</v>
      </c>
      <c r="W4" s="16" t="s">
        <v>2056</v>
      </c>
      <c r="X4" s="107" t="str">
        <f t="shared" si="5"/>
        <v>20100-Export from one EFTA country subject to restriction or export from the Union subject to restriction</v>
      </c>
      <c r="Z4" s="19" t="s">
        <v>269</v>
      </c>
      <c r="AA4" s="19" t="s">
        <v>272</v>
      </c>
      <c r="AB4" s="19" t="str">
        <f>CONCATENATE(Z4,"-",AA4)</f>
        <v>03-Part of the Transport Document</v>
      </c>
      <c r="AF4" s="22" t="s">
        <v>363</v>
      </c>
      <c r="AG4" s="22" t="s">
        <v>338</v>
      </c>
      <c r="AH4" s="6" t="str">
        <f t="shared" si="6"/>
        <v>04025-Proforma invoice</v>
      </c>
      <c r="AJ4" s="33" t="s">
        <v>1548</v>
      </c>
      <c r="AK4" s="33" t="s">
        <v>1549</v>
      </c>
      <c r="AL4" s="34" t="str">
        <f t="shared" si="7"/>
        <v>CIP-Carriage and Insurance Paid To</v>
      </c>
      <c r="AN4" s="52" t="s">
        <v>355</v>
      </c>
      <c r="AO4" s="37" t="s">
        <v>1578</v>
      </c>
      <c r="AP4" s="37" t="str">
        <f t="shared" si="8"/>
        <v>3-Cash Against Documents</v>
      </c>
      <c r="AR4" s="46" t="s">
        <v>1679</v>
      </c>
      <c r="AS4" s="32" t="s">
        <v>1517</v>
      </c>
      <c r="AT4" s="32" t="str">
        <f t="shared" si="9"/>
        <v>13-Transactions in which the Property of the Goods has been transferred in monetary or other terms - Exchange</v>
      </c>
      <c r="AV4" s="42" t="s">
        <v>1595</v>
      </c>
      <c r="AW4" s="40" t="s">
        <v>1634</v>
      </c>
      <c r="AX4" s="41" t="str">
        <f t="shared" si="10"/>
        <v>F03-İstanbul Industry and Trade FREE ZONE</v>
      </c>
      <c r="AZ4" s="74" t="s">
        <v>1889</v>
      </c>
      <c r="BA4" s="76" t="s">
        <v>1927</v>
      </c>
      <c r="BB4" s="83" t="str">
        <f>CONCATENATE(AZ4,"-",BA4)</f>
        <v>CCT-Carrying capacity in metric tonnes</v>
      </c>
      <c r="BD4" s="93" t="s">
        <v>1765</v>
      </c>
      <c r="BE4" s="96" t="s">
        <v>345</v>
      </c>
      <c r="BF4" s="95" t="str">
        <f t="shared" si="11"/>
        <v>N705-Bill of lading</v>
      </c>
      <c r="BH4" s="100" t="s">
        <v>2206</v>
      </c>
      <c r="BI4" s="103" t="s">
        <v>2207</v>
      </c>
      <c r="BJ4" s="102" t="str">
        <f t="shared" si="12"/>
        <v>Y023-Consignee (AEO certificate number)</v>
      </c>
      <c r="BL4" s="168" t="s">
        <v>355</v>
      </c>
      <c r="BM4" s="171" t="s">
        <v>2159</v>
      </c>
      <c r="BN4" s="170" t="str">
        <f t="shared" si="13"/>
        <v>3-Association of persons</v>
      </c>
      <c r="BP4" s="175" t="s">
        <v>2160</v>
      </c>
      <c r="BQ4" s="175" t="s">
        <v>2160</v>
      </c>
      <c r="BR4" s="176" t="str">
        <f t="shared" ref="BR4" si="14">CONCATENATE(BP4,"-",BQ4)</f>
        <v>T2-T2</v>
      </c>
    </row>
    <row r="5" spans="2:70" ht="15" customHeight="1" x14ac:dyDescent="0.35">
      <c r="B5" s="78" t="s">
        <v>866</v>
      </c>
      <c r="C5" s="79" t="s">
        <v>867</v>
      </c>
      <c r="D5" s="72" t="str">
        <f t="shared" si="0"/>
        <v>1F-Contenedor flexible</v>
      </c>
      <c r="F5" s="4" t="s">
        <v>1282</v>
      </c>
      <c r="G5" s="4" t="s">
        <v>1352</v>
      </c>
      <c r="H5" s="4" t="str">
        <f t="shared" si="1"/>
        <v>AOA-Kwanza</v>
      </c>
      <c r="J5" s="22" t="s">
        <v>1966</v>
      </c>
      <c r="K5" s="89" t="s">
        <v>2001</v>
      </c>
      <c r="L5" s="6" t="str">
        <f t="shared" si="2"/>
        <v>N018-ATR certificate</v>
      </c>
      <c r="N5" s="9" t="s">
        <v>127</v>
      </c>
      <c r="O5" s="29" t="s">
        <v>277</v>
      </c>
      <c r="P5" s="147" t="str">
        <f t="shared" si="3"/>
        <v>AG-Antigua and Barbuda</v>
      </c>
      <c r="R5" s="13" t="s">
        <v>1752</v>
      </c>
      <c r="S5" s="13" t="s">
        <v>1788</v>
      </c>
      <c r="T5" s="12" t="str">
        <f t="shared" si="4"/>
        <v>C620-Proof of the customs status of Union goods T2LF</v>
      </c>
      <c r="U5" s="139"/>
      <c r="V5" s="141" t="s">
        <v>2053</v>
      </c>
      <c r="W5" s="141" t="s">
        <v>2057</v>
      </c>
      <c r="X5" s="138" t="str">
        <f t="shared" si="5"/>
        <v>30600-In EXS, where negotiable bills of lading to order blank endorsed are concerned and the consignee particulars are unknown.</v>
      </c>
      <c r="Z5" s="20" t="s">
        <v>262</v>
      </c>
      <c r="AA5" s="20" t="s">
        <v>273</v>
      </c>
      <c r="AB5" s="19" t="str">
        <f>CONCATENATE(Z5,"-",AA5)</f>
        <v>EX-Export Declaration</v>
      </c>
      <c r="AF5" s="22" t="s">
        <v>364</v>
      </c>
      <c r="AG5" s="22" t="s">
        <v>401</v>
      </c>
      <c r="AH5" s="6" t="str">
        <f t="shared" si="6"/>
        <v>01206-Certificater of state registration SGR</v>
      </c>
      <c r="AJ5" s="33" t="s">
        <v>1550</v>
      </c>
      <c r="AK5" s="33" t="s">
        <v>1551</v>
      </c>
      <c r="AL5" s="34" t="str">
        <f t="shared" si="7"/>
        <v>CPT-Carriage Paid To</v>
      </c>
      <c r="AN5" s="52" t="s">
        <v>1674</v>
      </c>
      <c r="AO5" s="37" t="s">
        <v>1579</v>
      </c>
      <c r="AP5" s="37" t="str">
        <f t="shared" si="8"/>
        <v>4-Cash Payment (In Paper)</v>
      </c>
      <c r="AR5" s="46" t="s">
        <v>1680</v>
      </c>
      <c r="AS5" s="32" t="s">
        <v>1518</v>
      </c>
      <c r="AT5" s="32" t="str">
        <f t="shared" si="9"/>
        <v>14-Transactions in which the Property of the Goods has been transferred in monetary or other terms - Personal Purchasing of Passengers</v>
      </c>
      <c r="AV5" s="42" t="s">
        <v>1596</v>
      </c>
      <c r="AW5" s="40" t="s">
        <v>1635</v>
      </c>
      <c r="AX5" s="41" t="str">
        <f t="shared" si="10"/>
        <v>F04-EGE FREE ZONE</v>
      </c>
      <c r="AZ5" s="74" t="s">
        <v>1890</v>
      </c>
      <c r="BA5" s="76" t="s">
        <v>1928</v>
      </c>
      <c r="BB5" s="83" t="str">
        <f t="shared" ref="BB5:BB40" si="15">CONCATENATE(AZ5,"-",BA5)</f>
        <v>CEN-Hundred items</v>
      </c>
      <c r="BD5" s="93" t="s">
        <v>1775</v>
      </c>
      <c r="BE5" s="96" t="s">
        <v>1797</v>
      </c>
      <c r="BF5" s="95" t="str">
        <f t="shared" si="11"/>
        <v>N787-Bordereau (cargo load list)</v>
      </c>
      <c r="BH5" s="100" t="s">
        <v>2208</v>
      </c>
      <c r="BI5" s="103" t="s">
        <v>2209</v>
      </c>
      <c r="BJ5" s="102" t="str">
        <f t="shared" si="12"/>
        <v>Y022-Consignor / exporter (AEO certificate number)</v>
      </c>
    </row>
    <row r="6" spans="2:70" ht="15" customHeight="1" x14ac:dyDescent="0.35">
      <c r="B6" s="78" t="s">
        <v>104</v>
      </c>
      <c r="C6" s="79" t="s">
        <v>8</v>
      </c>
      <c r="D6" s="72" t="str">
        <f t="shared" si="0"/>
        <v>1G-Drum, fibre</v>
      </c>
      <c r="F6" s="4" t="s">
        <v>1283</v>
      </c>
      <c r="G6" s="4" t="s">
        <v>1353</v>
      </c>
      <c r="H6" s="4" t="str">
        <f t="shared" si="1"/>
        <v>XCD-East Carribbean Dollar</v>
      </c>
      <c r="J6" s="22" t="s">
        <v>1967</v>
      </c>
      <c r="K6" s="89" t="s">
        <v>2002</v>
      </c>
      <c r="L6" s="6" t="str">
        <f t="shared" si="2"/>
        <v>N933-Cargo declaration (arrival)</v>
      </c>
      <c r="N6" s="9" t="s">
        <v>129</v>
      </c>
      <c r="O6" s="29" t="s">
        <v>278</v>
      </c>
      <c r="P6" s="147" t="str">
        <f t="shared" si="3"/>
        <v>AI-Anguilla</v>
      </c>
      <c r="R6" s="13" t="s">
        <v>1753</v>
      </c>
      <c r="S6" s="13" t="s">
        <v>1789</v>
      </c>
      <c r="T6" s="12" t="str">
        <f t="shared" si="4"/>
        <v>C651-AAD - Administrative Accompanying Document (EMCS)</v>
      </c>
      <c r="U6" s="139"/>
      <c r="V6" s="140" t="s">
        <v>2119</v>
      </c>
      <c r="W6" s="16" t="s">
        <v>2120</v>
      </c>
      <c r="X6" s="107" t="str">
        <f t="shared" si="5"/>
        <v>FSA-This is used for dutyfree movements.</v>
      </c>
      <c r="AF6" s="22" t="s">
        <v>365</v>
      </c>
      <c r="AG6" s="22" t="s">
        <v>351</v>
      </c>
      <c r="AH6" s="6" t="str">
        <f t="shared" si="6"/>
        <v>02024-TIR carnet</v>
      </c>
      <c r="AJ6" s="33" t="s">
        <v>1552</v>
      </c>
      <c r="AK6" s="33" t="s">
        <v>1553</v>
      </c>
      <c r="AL6" s="34" t="str">
        <f t="shared" si="7"/>
        <v>DAF-	Delivered At Frontier</v>
      </c>
      <c r="AN6" s="52" t="s">
        <v>1675</v>
      </c>
      <c r="AO6" s="37" t="s">
        <v>1580</v>
      </c>
      <c r="AP6" s="37" t="str">
        <f t="shared" si="8"/>
        <v>6-Deferred Payment Credit</v>
      </c>
      <c r="AR6" s="46" t="s">
        <v>1681</v>
      </c>
      <c r="AS6" s="32" t="s">
        <v>1519</v>
      </c>
      <c r="AT6" s="32" t="str">
        <f t="shared" si="9"/>
        <v>15-Transactions in which the Property of the Goods has been transferred in monetary or other terms - Financial Leasing</v>
      </c>
      <c r="AV6" s="42" t="s">
        <v>1597</v>
      </c>
      <c r="AW6" s="40" t="s">
        <v>1636</v>
      </c>
      <c r="AX6" s="41" t="str">
        <f t="shared" si="10"/>
        <v>F05-MERSİN FREE ZONE</v>
      </c>
      <c r="AZ6" s="74" t="s">
        <v>1891</v>
      </c>
      <c r="BA6" s="76" t="s">
        <v>1929</v>
      </c>
      <c r="BB6" s="83" t="str">
        <f t="shared" si="15"/>
        <v>CTM-Carats (one metric carat = 2 x 10-4kg)</v>
      </c>
      <c r="BD6" s="93" t="s">
        <v>1774</v>
      </c>
      <c r="BE6" s="96" t="s">
        <v>350</v>
      </c>
      <c r="BF6" s="95" t="str">
        <f t="shared" si="11"/>
        <v>N785-Cargo manifest</v>
      </c>
      <c r="BH6" s="100" t="s">
        <v>2210</v>
      </c>
      <c r="BI6" s="103" t="s">
        <v>2211</v>
      </c>
      <c r="BJ6" s="102" t="str">
        <f t="shared" si="12"/>
        <v>Y117-Dangerous product — release for free circulation not authorised — Regulation (EU) 2019/1020, Art. 28(1)</v>
      </c>
    </row>
    <row r="7" spans="2:70" ht="15" customHeight="1" x14ac:dyDescent="0.35">
      <c r="B7" s="78" t="s">
        <v>105</v>
      </c>
      <c r="C7" s="79" t="s">
        <v>9</v>
      </c>
      <c r="D7" s="72" t="str">
        <f t="shared" si="0"/>
        <v>1W-Drum, wooden</v>
      </c>
      <c r="F7" s="4" t="s">
        <v>1283</v>
      </c>
      <c r="G7" s="4" t="s">
        <v>1353</v>
      </c>
      <c r="H7" s="4" t="str">
        <f t="shared" si="1"/>
        <v>XCD-East Carribbean Dollar</v>
      </c>
      <c r="J7" s="22" t="s">
        <v>1968</v>
      </c>
      <c r="K7" s="89" t="s">
        <v>2003</v>
      </c>
      <c r="L7" s="6" t="str">
        <f t="shared" si="2"/>
        <v>C673-Catch certificate</v>
      </c>
      <c r="N7" s="9" t="s">
        <v>221</v>
      </c>
      <c r="O7" s="29" t="s">
        <v>279</v>
      </c>
      <c r="P7" s="147" t="str">
        <f t="shared" si="3"/>
        <v>AL-Albania</v>
      </c>
      <c r="R7" s="13" t="s">
        <v>1754</v>
      </c>
      <c r="S7" s="13" t="s">
        <v>1790</v>
      </c>
      <c r="T7" s="12" t="str">
        <f t="shared" si="4"/>
        <v>C658-FAD - Fallback e-AD (EMCS)</v>
      </c>
      <c r="V7" s="16" t="s">
        <v>2122</v>
      </c>
      <c r="W7" s="16" t="s">
        <v>2121</v>
      </c>
      <c r="X7" s="107" t="str">
        <f t="shared" si="5"/>
        <v>PTT-This used for Post and Telegraph Organization.</v>
      </c>
      <c r="AF7" s="22" t="s">
        <v>366</v>
      </c>
      <c r="AG7" s="22" t="s">
        <v>262</v>
      </c>
      <c r="AH7" s="6" t="str">
        <f t="shared" si="6"/>
        <v>09015-EX</v>
      </c>
      <c r="AJ7" s="33" t="s">
        <v>1554</v>
      </c>
      <c r="AK7" s="33" t="s">
        <v>1555</v>
      </c>
      <c r="AL7" s="34" t="str">
        <f t="shared" si="7"/>
        <v>DAP-	Delivered At Place</v>
      </c>
      <c r="AN7" s="52" t="s">
        <v>1676</v>
      </c>
      <c r="AO7" s="37" t="s">
        <v>1581</v>
      </c>
      <c r="AP7" s="37" t="str">
        <f t="shared" si="8"/>
        <v>7-Free of Charge</v>
      </c>
      <c r="AR7" s="46" t="s">
        <v>1684</v>
      </c>
      <c r="AS7" s="32" t="s">
        <v>1520</v>
      </c>
      <c r="AT7" s="32" t="str">
        <f t="shared" si="9"/>
        <v>19-Transactions in which the Property of the Goods has been transferred in monetary or other terms - Other</v>
      </c>
      <c r="AV7" s="42" t="s">
        <v>1598</v>
      </c>
      <c r="AW7" s="40" t="s">
        <v>1637</v>
      </c>
      <c r="AX7" s="41" t="str">
        <f t="shared" si="10"/>
        <v>F06-TRAKYA FREE ZONE</v>
      </c>
      <c r="AZ7" s="74" t="s">
        <v>1554</v>
      </c>
      <c r="BA7" s="76" t="s">
        <v>1930</v>
      </c>
      <c r="BB7" s="83" t="str">
        <f t="shared" si="15"/>
        <v>DAP-Decatonne, corrected according to polarisation</v>
      </c>
      <c r="BD7" s="93" t="s">
        <v>1767</v>
      </c>
      <c r="BE7" s="96" t="s">
        <v>1795</v>
      </c>
      <c r="BF7" s="95" t="str">
        <f t="shared" si="11"/>
        <v>N720-Consignment note CIM</v>
      </c>
      <c r="BH7" s="100" t="s">
        <v>2212</v>
      </c>
      <c r="BI7" s="103" t="s">
        <v>2213</v>
      </c>
      <c r="BJ7" s="102" t="str">
        <f t="shared" si="12"/>
        <v>Y024-Declarant (AEO certificate number)</v>
      </c>
    </row>
    <row r="8" spans="2:70" ht="15" customHeight="1" x14ac:dyDescent="0.35">
      <c r="B8" s="78" t="s">
        <v>106</v>
      </c>
      <c r="C8" s="79" t="s">
        <v>10</v>
      </c>
      <c r="D8" s="72" t="str">
        <f t="shared" si="0"/>
        <v>2C-Barrel, wooden</v>
      </c>
      <c r="F8" s="4" t="s">
        <v>1284</v>
      </c>
      <c r="G8" s="4" t="s">
        <v>1354</v>
      </c>
      <c r="H8" s="4" t="str">
        <f t="shared" si="1"/>
        <v>ARS-Argentine Peso</v>
      </c>
      <c r="J8" s="22" t="s">
        <v>1969</v>
      </c>
      <c r="K8" s="89" t="s">
        <v>2004</v>
      </c>
      <c r="L8" s="6" t="str">
        <f t="shared" si="2"/>
        <v>N865-Certificate of origin Form A</v>
      </c>
      <c r="N8" s="9" t="s">
        <v>222</v>
      </c>
      <c r="O8" s="29" t="s">
        <v>280</v>
      </c>
      <c r="P8" s="147" t="str">
        <f t="shared" si="3"/>
        <v>AM-Armenia</v>
      </c>
      <c r="R8" s="13" t="s">
        <v>1755</v>
      </c>
      <c r="S8" s="13" t="s">
        <v>1791</v>
      </c>
      <c r="T8" s="12" t="str">
        <f t="shared" si="4"/>
        <v>C710-Information sheet</v>
      </c>
      <c r="V8" s="16" t="s">
        <v>2164</v>
      </c>
      <c r="W8" s="16" t="s">
        <v>2165</v>
      </c>
      <c r="X8" s="107" t="str">
        <f t="shared" ref="X8:X13" si="16">CONCATENATE(V8,"-",W8)</f>
        <v>00200-Several occurrences of documents and parties</v>
      </c>
      <c r="AF8" s="22" t="s">
        <v>367</v>
      </c>
      <c r="AG8" s="22" t="s">
        <v>402</v>
      </c>
      <c r="AH8" s="6" t="str">
        <f t="shared" si="6"/>
        <v>01207-Phytosanitary certificate</v>
      </c>
      <c r="AJ8" s="33" t="s">
        <v>1556</v>
      </c>
      <c r="AK8" s="33" t="s">
        <v>1557</v>
      </c>
      <c r="AL8" s="34" t="str">
        <f t="shared" si="7"/>
        <v>DAT-	Delivered At Terminal</v>
      </c>
      <c r="AN8" s="52" t="s">
        <v>1677</v>
      </c>
      <c r="AO8" s="37" t="s">
        <v>1582</v>
      </c>
      <c r="AP8" s="37" t="str">
        <f t="shared" si="8"/>
        <v>11-Private Barter</v>
      </c>
      <c r="AR8" s="46" t="s">
        <v>1685</v>
      </c>
      <c r="AS8" s="32" t="s">
        <v>1521</v>
      </c>
      <c r="AT8" s="32" t="str">
        <f t="shared" si="9"/>
        <v>21-Return of Goods-Returned Goods</v>
      </c>
      <c r="AV8" s="42" t="s">
        <v>1599</v>
      </c>
      <c r="AW8" s="40" t="s">
        <v>1638</v>
      </c>
      <c r="AX8" s="41" t="str">
        <f t="shared" si="10"/>
        <v>F07-TRABZON FREE ZONE</v>
      </c>
      <c r="AZ8" s="74" t="s">
        <v>1892</v>
      </c>
      <c r="BA8" s="76" t="s">
        <v>1931</v>
      </c>
      <c r="BB8" s="83" t="str">
        <f t="shared" si="15"/>
        <v>DHS-Kilogram of dihydrostreptomycin</v>
      </c>
      <c r="BD8" s="93" t="s">
        <v>1756</v>
      </c>
      <c r="BE8" s="96" t="s">
        <v>339</v>
      </c>
      <c r="BF8" s="95" t="str">
        <f t="shared" si="11"/>
        <v>N235-Container list</v>
      </c>
      <c r="BH8" s="100" t="s">
        <v>2214</v>
      </c>
      <c r="BI8" s="103" t="s">
        <v>2215</v>
      </c>
      <c r="BJ8" s="102" t="str">
        <f t="shared" si="12"/>
        <v>Y903-Declared goods are not included in the list of cultural goods</v>
      </c>
    </row>
    <row r="9" spans="2:70" ht="15" customHeight="1" x14ac:dyDescent="0.35">
      <c r="B9" s="78" t="s">
        <v>107</v>
      </c>
      <c r="C9" s="79" t="s">
        <v>11</v>
      </c>
      <c r="D9" s="72" t="str">
        <f t="shared" si="0"/>
        <v>3A-Jerrycan, steel</v>
      </c>
      <c r="F9" s="4" t="s">
        <v>1285</v>
      </c>
      <c r="G9" s="4" t="s">
        <v>1355</v>
      </c>
      <c r="H9" s="4" t="str">
        <f t="shared" si="1"/>
        <v>ALL-Albanian Lek</v>
      </c>
      <c r="J9" s="22" t="s">
        <v>1970</v>
      </c>
      <c r="K9" s="89" t="s">
        <v>2005</v>
      </c>
      <c r="L9" s="6" t="str">
        <f t="shared" si="2"/>
        <v>N003-Certificate of quality</v>
      </c>
      <c r="N9" s="9" t="s">
        <v>223</v>
      </c>
      <c r="O9" s="29" t="s">
        <v>281</v>
      </c>
      <c r="P9" s="147" t="str">
        <f t="shared" si="3"/>
        <v>AN-Netherlands Antilles</v>
      </c>
      <c r="R9" s="145" t="s">
        <v>2126</v>
      </c>
      <c r="S9" s="146" t="s">
        <v>2125</v>
      </c>
      <c r="T9" s="12" t="str">
        <f t="shared" si="4"/>
        <v>DIZP-Exit Disposition</v>
      </c>
      <c r="V9" s="16" t="s">
        <v>2166</v>
      </c>
      <c r="W9" s="16" t="s">
        <v>2167</v>
      </c>
      <c r="X9" s="107" t="str">
        <f t="shared" si="16"/>
        <v>00700-Discharge of inward processing. IP’ and the relevant authorisation number or INF number</v>
      </c>
      <c r="AF9" s="22" t="s">
        <v>368</v>
      </c>
      <c r="AG9" s="22" t="s">
        <v>403</v>
      </c>
      <c r="AH9" s="6" t="str">
        <f t="shared" si="6"/>
        <v>01201-Veterinary certificate</v>
      </c>
      <c r="AJ9" s="33" t="s">
        <v>1558</v>
      </c>
      <c r="AK9" s="33" t="s">
        <v>1559</v>
      </c>
      <c r="AL9" s="34" t="str">
        <f t="shared" si="7"/>
        <v>DDP-	Delivered Duty Paid</v>
      </c>
      <c r="AN9" s="52" t="s">
        <v>1678</v>
      </c>
      <c r="AO9" s="37" t="s">
        <v>1583</v>
      </c>
      <c r="AP9" s="37" t="str">
        <f t="shared" si="8"/>
        <v>12-Letter of Credit</v>
      </c>
      <c r="AR9" s="46" t="s">
        <v>1686</v>
      </c>
      <c r="AS9" s="32" t="s">
        <v>1522</v>
      </c>
      <c r="AT9" s="32" t="str">
        <f t="shared" si="9"/>
        <v>22-Replacement of Returned Goods</v>
      </c>
      <c r="AV9" s="42" t="s">
        <v>1600</v>
      </c>
      <c r="AW9" s="40" t="s">
        <v>1639</v>
      </c>
      <c r="AX9" s="41" t="str">
        <f t="shared" si="10"/>
        <v>F09-MARDİN FREE ZONE</v>
      </c>
      <c r="AZ9" s="74" t="s">
        <v>1893</v>
      </c>
      <c r="BA9" s="76" t="s">
        <v>1932</v>
      </c>
      <c r="BB9" s="83" t="str">
        <f t="shared" si="15"/>
        <v>DTN-Hectokilogram</v>
      </c>
      <c r="BD9" s="93" t="s">
        <v>1766</v>
      </c>
      <c r="BE9" s="96" t="s">
        <v>1794</v>
      </c>
      <c r="BF9" s="95" t="str">
        <f t="shared" si="11"/>
        <v>N714-House bill of lading</v>
      </c>
      <c r="BH9" s="100" t="s">
        <v>2216</v>
      </c>
      <c r="BI9" s="103" t="s">
        <v>2217</v>
      </c>
      <c r="BJ9" s="102" t="str">
        <f t="shared" si="12"/>
        <v>Y900-Declared goods do not belong to the Washington Convention (CITES)</v>
      </c>
    </row>
    <row r="10" spans="2:70" ht="15" customHeight="1" x14ac:dyDescent="0.35">
      <c r="B10" s="78" t="s">
        <v>108</v>
      </c>
      <c r="C10" s="79" t="s">
        <v>12</v>
      </c>
      <c r="D10" s="72" t="str">
        <f t="shared" si="0"/>
        <v>3H-Jerrycan, plastic</v>
      </c>
      <c r="F10" s="4" t="s">
        <v>317</v>
      </c>
      <c r="G10" s="4" t="s">
        <v>1356</v>
      </c>
      <c r="H10" s="4" t="str">
        <f t="shared" si="1"/>
        <v>AWG-Aruban  Guilder</v>
      </c>
      <c r="J10" s="22" t="s">
        <v>1971</v>
      </c>
      <c r="K10" s="89" t="s">
        <v>2006</v>
      </c>
      <c r="L10" s="6" t="str">
        <f t="shared" si="2"/>
        <v>C640-CHED-A</v>
      </c>
      <c r="N10" s="9" t="s">
        <v>224</v>
      </c>
      <c r="O10" s="29" t="s">
        <v>282</v>
      </c>
      <c r="P10" s="147" t="str">
        <f t="shared" si="3"/>
        <v>AO-Angola</v>
      </c>
      <c r="R10" s="13" t="s">
        <v>1756</v>
      </c>
      <c r="S10" s="13" t="s">
        <v>339</v>
      </c>
      <c r="T10" s="12" t="str">
        <f t="shared" si="4"/>
        <v>N235-Container list</v>
      </c>
      <c r="V10" s="16" t="s">
        <v>2168</v>
      </c>
      <c r="W10" s="16" t="s">
        <v>2169</v>
      </c>
      <c r="X10" s="107" t="str">
        <f t="shared" si="16"/>
        <v>00800-Discharge of inward processing (specific commercial policy measures)</v>
      </c>
      <c r="AF10" s="22" t="s">
        <v>369</v>
      </c>
      <c r="AG10" s="22" t="s">
        <v>404</v>
      </c>
      <c r="AH10" s="6" t="str">
        <f t="shared" si="6"/>
        <v xml:space="preserve">09024-Certificate of approval of a vehicle - international carriage of goods </v>
      </c>
      <c r="AJ10" s="33" t="s">
        <v>1560</v>
      </c>
      <c r="AK10" s="33" t="s">
        <v>1561</v>
      </c>
      <c r="AL10" s="34" t="str">
        <f t="shared" si="7"/>
        <v>DDU-	Delivered Duty Unpaid</v>
      </c>
      <c r="AN10" s="52" t="s">
        <v>1679</v>
      </c>
      <c r="AO10" s="37" t="s">
        <v>1584</v>
      </c>
      <c r="AP10" s="37" t="str">
        <f t="shared" si="8"/>
        <v>13-Counter Purchase</v>
      </c>
      <c r="AR10" s="46" t="s">
        <v>1687</v>
      </c>
      <c r="AS10" s="32" t="s">
        <v>1523</v>
      </c>
      <c r="AT10" s="32" t="str">
        <f t="shared" si="9"/>
        <v>23-Replacement of Returned Goods Without Returning Goods (Example: Under Warranty)</v>
      </c>
      <c r="AV10" s="42" t="s">
        <v>1601</v>
      </c>
      <c r="AW10" s="40" t="s">
        <v>1640</v>
      </c>
      <c r="AX10" s="41" t="str">
        <f t="shared" si="10"/>
        <v>F10-RİZE FREE ZONE</v>
      </c>
      <c r="AZ10" s="74" t="s">
        <v>1894</v>
      </c>
      <c r="BA10" s="76" t="s">
        <v>1933</v>
      </c>
      <c r="BB10" s="83" t="str">
        <f t="shared" si="15"/>
        <v>DTNE-Hectokilogram of drained net weight</v>
      </c>
      <c r="BD10" s="93" t="s">
        <v>1763</v>
      </c>
      <c r="BE10" s="96" t="s">
        <v>343</v>
      </c>
      <c r="BF10" s="95" t="str">
        <f t="shared" si="11"/>
        <v>N703-House waybill</v>
      </c>
      <c r="BH10" s="100" t="s">
        <v>1753</v>
      </c>
      <c r="BI10" s="103" t="s">
        <v>2218</v>
      </c>
      <c r="BJ10" s="102" t="str">
        <f t="shared" si="12"/>
        <v>C651-Electronic administrative document (e-AD), as referred to in Article 3(1) of Reg. (EC) No 684/2009</v>
      </c>
    </row>
    <row r="11" spans="2:70" ht="15" customHeight="1" x14ac:dyDescent="0.35">
      <c r="B11" s="78" t="s">
        <v>109</v>
      </c>
      <c r="C11" s="79" t="s">
        <v>13</v>
      </c>
      <c r="D11" s="72" t="str">
        <f t="shared" si="0"/>
        <v>43-Bag, super bulk</v>
      </c>
      <c r="F11" s="4" t="s">
        <v>316</v>
      </c>
      <c r="G11" s="4" t="s">
        <v>1357</v>
      </c>
      <c r="H11" s="4" t="str">
        <f t="shared" si="1"/>
        <v>AUD-Australian Dollar</v>
      </c>
      <c r="J11" s="22" t="s">
        <v>1972</v>
      </c>
      <c r="K11" s="89" t="s">
        <v>2007</v>
      </c>
      <c r="L11" s="6" t="str">
        <f t="shared" si="2"/>
        <v>C678-CHED - D</v>
      </c>
      <c r="N11" s="9" t="s">
        <v>225</v>
      </c>
      <c r="O11" s="29" t="s">
        <v>283</v>
      </c>
      <c r="P11" s="147" t="str">
        <f t="shared" si="3"/>
        <v>AQ-Antarctica</v>
      </c>
      <c r="R11" s="13" t="s">
        <v>1757</v>
      </c>
      <c r="S11" s="13" t="s">
        <v>1792</v>
      </c>
      <c r="T11" s="12" t="str">
        <f t="shared" si="4"/>
        <v>N270-Delivery note</v>
      </c>
      <c r="V11" s="16" t="s">
        <v>2170</v>
      </c>
      <c r="W11" s="16" t="s">
        <v>2171</v>
      </c>
      <c r="X11" s="107" t="str">
        <f t="shared" si="16"/>
        <v>00900-Discharge of temporary admission. ‘TA’ and the relevant authorisation number</v>
      </c>
      <c r="AF11" s="22" t="s">
        <v>370</v>
      </c>
      <c r="AG11" s="22" t="s">
        <v>405</v>
      </c>
      <c r="AH11" s="6" t="str">
        <f t="shared" si="6"/>
        <v>01011-Export/import licence</v>
      </c>
      <c r="AJ11" s="33" t="s">
        <v>1562</v>
      </c>
      <c r="AK11" s="33" t="s">
        <v>1563</v>
      </c>
      <c r="AL11" s="34" t="str">
        <f t="shared" si="7"/>
        <v>DEQ-Delivered Ex Quay (Duty Paid)</v>
      </c>
      <c r="AN11" s="52" t="s">
        <v>1680</v>
      </c>
      <c r="AO11" s="37" t="s">
        <v>1585</v>
      </c>
      <c r="AP11" s="37" t="str">
        <f t="shared" si="8"/>
        <v>14-Acceptance Credit L/C</v>
      </c>
      <c r="AR11" s="46" t="s">
        <v>1688</v>
      </c>
      <c r="AS11" s="32" t="s">
        <v>1524</v>
      </c>
      <c r="AT11" s="32" t="str">
        <f t="shared" si="9"/>
        <v>29-Return of goods-Return to Consignor</v>
      </c>
      <c r="AV11" s="42" t="s">
        <v>1602</v>
      </c>
      <c r="AW11" s="40" t="s">
        <v>1641</v>
      </c>
      <c r="AX11" s="41" t="str">
        <f t="shared" si="10"/>
        <v>F11-SAMSUN FREE ZONE</v>
      </c>
      <c r="AZ11" s="74" t="s">
        <v>1895</v>
      </c>
      <c r="BA11" s="76" t="s">
        <v>1934</v>
      </c>
      <c r="BB11" s="83" t="str">
        <f t="shared" si="15"/>
        <v>DTNF-Hectokilogram of common wheat</v>
      </c>
      <c r="BD11" s="93" t="s">
        <v>1771</v>
      </c>
      <c r="BE11" s="96" t="s">
        <v>2037</v>
      </c>
      <c r="BF11" s="95" t="str">
        <f t="shared" si="11"/>
        <v>N741-Master airwaybill</v>
      </c>
      <c r="BH11" s="100" t="s">
        <v>2219</v>
      </c>
      <c r="BI11" s="103" t="s">
        <v>2220</v>
      </c>
      <c r="BJ11" s="102" t="str">
        <f t="shared" si="12"/>
        <v>Y070-Exemption from the requirement of presenting FLEGT licence by virtue of Article 4.3 of Council Regulation (EC) No 2173/2005</v>
      </c>
    </row>
    <row r="12" spans="2:70" ht="15" customHeight="1" x14ac:dyDescent="0.35">
      <c r="B12" s="78" t="s">
        <v>868</v>
      </c>
      <c r="C12" s="79" t="s">
        <v>869</v>
      </c>
      <c r="D12" s="72" t="str">
        <f t="shared" si="0"/>
        <v>44-Saco de plástico (polibag)</v>
      </c>
      <c r="F12" s="4" t="s">
        <v>1286</v>
      </c>
      <c r="G12" s="4" t="s">
        <v>1358</v>
      </c>
      <c r="H12" s="4" t="str">
        <f t="shared" si="1"/>
        <v>AZN-Azerbaijanian Manat</v>
      </c>
      <c r="J12" s="22" t="s">
        <v>1973</v>
      </c>
      <c r="K12" s="89" t="s">
        <v>2008</v>
      </c>
      <c r="L12" s="6" t="str">
        <f t="shared" si="2"/>
        <v>N853-CHED-P</v>
      </c>
      <c r="N12" s="9" t="s">
        <v>226</v>
      </c>
      <c r="O12" s="29" t="s">
        <v>284</v>
      </c>
      <c r="P12" s="147" t="str">
        <f t="shared" si="3"/>
        <v>AR-Argentina</v>
      </c>
      <c r="R12" s="13" t="s">
        <v>1758</v>
      </c>
      <c r="S12" s="13" t="s">
        <v>340</v>
      </c>
      <c r="T12" s="12" t="str">
        <f t="shared" si="4"/>
        <v>N271-Packing list</v>
      </c>
      <c r="V12" s="16" t="s">
        <v>2172</v>
      </c>
      <c r="W12" s="16" t="s">
        <v>2173</v>
      </c>
      <c r="X12" s="107" t="str">
        <f t="shared" si="16"/>
        <v>10600-Situations where negotiable bills of lading that are "to order blank endorsed" are concerned, in the case of entry summary declarations, where the consignee details are unknown. Consignee unknown</v>
      </c>
      <c r="AF12" s="22" t="s">
        <v>371</v>
      </c>
      <c r="AG12" s="22" t="s">
        <v>406</v>
      </c>
      <c r="AH12" s="6" t="str">
        <f t="shared" si="6"/>
        <v>01017-Permit to export / import licencing goods</v>
      </c>
      <c r="AJ12" s="33" t="s">
        <v>1564</v>
      </c>
      <c r="AK12" s="33" t="s">
        <v>1565</v>
      </c>
      <c r="AL12" s="34" t="str">
        <f t="shared" si="7"/>
        <v>DES-Delivered Ex Ship</v>
      </c>
      <c r="AN12" s="52" t="s">
        <v>1681</v>
      </c>
      <c r="AO12" s="37" t="s">
        <v>1586</v>
      </c>
      <c r="AP12" s="37" t="str">
        <f t="shared" si="8"/>
        <v>15-Acceptance Credit Against Documents</v>
      </c>
      <c r="AR12" s="46" t="s">
        <v>1707</v>
      </c>
      <c r="AS12" s="32" t="s">
        <v>1525</v>
      </c>
      <c r="AT12" s="32" t="str">
        <f t="shared" si="9"/>
        <v>31-Transactions in which the Ownership of the Goods is transferred without monetary or other provision - Aid programs, fully or partially financed by the EU</v>
      </c>
      <c r="AV12" s="42" t="s">
        <v>1603</v>
      </c>
      <c r="AW12" s="40" t="s">
        <v>1642</v>
      </c>
      <c r="AX12" s="41" t="str">
        <f t="shared" si="10"/>
        <v>F12-KAYSERİ FREE ZONE</v>
      </c>
      <c r="AZ12" s="74" t="s">
        <v>1896</v>
      </c>
      <c r="BA12" s="76" t="s">
        <v>1935</v>
      </c>
      <c r="BB12" s="83" t="str">
        <f t="shared" si="15"/>
        <v>DTNG-Hectokilogram , gross</v>
      </c>
      <c r="BD12" s="93" t="s">
        <v>1764</v>
      </c>
      <c r="BE12" s="96" t="s">
        <v>344</v>
      </c>
      <c r="BF12" s="95" t="str">
        <f t="shared" si="11"/>
        <v>N704-Master bill of lading</v>
      </c>
      <c r="BH12" s="100" t="s">
        <v>2221</v>
      </c>
      <c r="BI12" s="103" t="s">
        <v>2222</v>
      </c>
      <c r="BJ12" s="102" t="str">
        <f t="shared" si="12"/>
        <v>Y951-Exemptions from the Reduction of the quantity of hydrofluorocarbons placed on the market by virtue of Article 15.2 of Regulation (EU) No 517/2014</v>
      </c>
    </row>
    <row r="13" spans="2:70" ht="15" customHeight="1" x14ac:dyDescent="0.35">
      <c r="B13" s="78" t="s">
        <v>110</v>
      </c>
      <c r="C13" s="79" t="s">
        <v>14</v>
      </c>
      <c r="D13" s="72" t="str">
        <f t="shared" si="0"/>
        <v>4A-Box, steel</v>
      </c>
      <c r="F13" s="4" t="s">
        <v>323</v>
      </c>
      <c r="G13" s="4" t="s">
        <v>1359</v>
      </c>
      <c r="H13" s="4" t="str">
        <f t="shared" si="1"/>
        <v>BSD-Bahamian Dollar</v>
      </c>
      <c r="J13" s="22" t="s">
        <v>1974</v>
      </c>
      <c r="K13" s="89" t="s">
        <v>2009</v>
      </c>
      <c r="L13" s="6" t="str">
        <f t="shared" si="2"/>
        <v>C085-CHED-PP</v>
      </c>
      <c r="N13" s="9" t="s">
        <v>227</v>
      </c>
      <c r="O13" s="29" t="s">
        <v>285</v>
      </c>
      <c r="P13" s="147" t="str">
        <f t="shared" si="3"/>
        <v>AS-American Samoa</v>
      </c>
      <c r="R13" s="13" t="s">
        <v>1759</v>
      </c>
      <c r="S13" s="13" t="s">
        <v>338</v>
      </c>
      <c r="T13" s="12" t="str">
        <f t="shared" si="4"/>
        <v>N325-Proforma invoice</v>
      </c>
      <c r="V13" s="17" t="s">
        <v>2174</v>
      </c>
      <c r="W13" s="17" t="s">
        <v>2175</v>
      </c>
      <c r="X13" s="111" t="str">
        <f t="shared" si="16"/>
        <v>10900-ENS lodged together with customs declaration for low value consignment</v>
      </c>
      <c r="AF13" s="22" t="s">
        <v>372</v>
      </c>
      <c r="AG13" s="22" t="s">
        <v>407</v>
      </c>
      <c r="AH13" s="6" t="str">
        <f t="shared" si="6"/>
        <v>01061-Permit to import of plant protection products (pesticides)</v>
      </c>
      <c r="AJ13" s="33" t="s">
        <v>1566</v>
      </c>
      <c r="AK13" s="33" t="s">
        <v>1567</v>
      </c>
      <c r="AL13" s="34" t="str">
        <f t="shared" si="7"/>
        <v>EXW-Ex Works</v>
      </c>
      <c r="AN13" s="52" t="s">
        <v>1682</v>
      </c>
      <c r="AO13" s="37" t="s">
        <v>1587</v>
      </c>
      <c r="AP13" s="37" t="str">
        <f t="shared" si="8"/>
        <v>16-Acceptance Credit Against Goods</v>
      </c>
      <c r="AR13" s="46" t="s">
        <v>1706</v>
      </c>
      <c r="AS13" s="32" t="s">
        <v>1526</v>
      </c>
      <c r="AT13" s="32" t="str">
        <f t="shared" si="9"/>
        <v>32-Transactions in which the Ownership of the Goods is transferred without monetary or other provision - General Government Assistance Programs (Public Legal Entities)</v>
      </c>
      <c r="AV13" s="42" t="s">
        <v>1604</v>
      </c>
      <c r="AW13" s="40" t="s">
        <v>1643</v>
      </c>
      <c r="AX13" s="41" t="str">
        <f t="shared" si="10"/>
        <v>F13-AVRUPA FREE ZONE</v>
      </c>
      <c r="AZ13" s="74" t="s">
        <v>1897</v>
      </c>
      <c r="BA13" s="76" t="s">
        <v>1936</v>
      </c>
      <c r="BB13" s="83" t="str">
        <f t="shared" si="15"/>
        <v>DTNL-Hectokilogram of live weight</v>
      </c>
      <c r="BD13" s="93" t="s">
        <v>1772</v>
      </c>
      <c r="BE13" s="96" t="s">
        <v>2038</v>
      </c>
      <c r="BF13" s="95" t="str">
        <f t="shared" si="11"/>
        <v xml:space="preserve">N750-Movement by post including parcel post </v>
      </c>
      <c r="BH13" s="100" t="s">
        <v>1754</v>
      </c>
      <c r="BI13" s="103" t="s">
        <v>2014</v>
      </c>
      <c r="BJ13" s="102" t="str">
        <f t="shared" si="12"/>
        <v>C658-Fallback Accompanying Document for movements of excise goods under suspension of excise duty (FAD), as referred to in Article 8(1) Reg. (EC) No 684/2009</v>
      </c>
    </row>
    <row r="14" spans="2:70" ht="15" customHeight="1" x14ac:dyDescent="0.35">
      <c r="B14" s="78" t="s">
        <v>111</v>
      </c>
      <c r="C14" s="79" t="s">
        <v>15</v>
      </c>
      <c r="D14" s="72" t="str">
        <f t="shared" si="0"/>
        <v>4B-Box, aluminium</v>
      </c>
      <c r="F14" s="4" t="s">
        <v>319</v>
      </c>
      <c r="G14" s="4" t="s">
        <v>1360</v>
      </c>
      <c r="H14" s="4" t="str">
        <f t="shared" si="1"/>
        <v>BHD-Bahraini Dinar</v>
      </c>
      <c r="J14" s="22" t="s">
        <v>1762</v>
      </c>
      <c r="K14" s="89" t="s">
        <v>356</v>
      </c>
      <c r="L14" s="6" t="str">
        <f t="shared" si="2"/>
        <v>N380-Commercial Invoice</v>
      </c>
      <c r="N14" s="9" t="s">
        <v>228</v>
      </c>
      <c r="O14" s="29" t="s">
        <v>286</v>
      </c>
      <c r="P14" s="147" t="str">
        <f t="shared" si="3"/>
        <v>AT-Austrian</v>
      </c>
      <c r="R14" s="13" t="s">
        <v>1760</v>
      </c>
      <c r="S14" s="13" t="s">
        <v>1793</v>
      </c>
      <c r="T14" s="12" t="str">
        <f t="shared" si="4"/>
        <v>N337-Temporary storage declaration</v>
      </c>
      <c r="AF14" s="22" t="s">
        <v>373</v>
      </c>
      <c r="AG14" s="22" t="s">
        <v>408</v>
      </c>
      <c r="AH14" s="6" t="str">
        <f t="shared" si="6"/>
        <v>01072-Permit to  the transit of toxic substances</v>
      </c>
      <c r="AJ14" s="33" t="s">
        <v>1568</v>
      </c>
      <c r="AK14" s="33" t="s">
        <v>1569</v>
      </c>
      <c r="AL14" s="34" t="str">
        <f t="shared" si="7"/>
        <v>FAS-Free Alongside Ship</v>
      </c>
      <c r="AN14" s="52" t="s">
        <v>1683</v>
      </c>
      <c r="AO14" s="37" t="s">
        <v>1588</v>
      </c>
      <c r="AP14" s="37" t="str">
        <f t="shared" si="8"/>
        <v>17-Special Account</v>
      </c>
      <c r="AR14" s="46" t="s">
        <v>1705</v>
      </c>
      <c r="AS14" s="32" t="s">
        <v>1527</v>
      </c>
      <c r="AT14" s="32" t="str">
        <f t="shared" si="9"/>
        <v>33-Transactions in which the Ownership of the Goods is transferred without monetary or other provision - Other Aid Programs (Private legal entities, natural persons and non-governmental organizations)</v>
      </c>
      <c r="AV14" s="42" t="s">
        <v>1605</v>
      </c>
      <c r="AW14" s="40" t="s">
        <v>1644</v>
      </c>
      <c r="AX14" s="41" t="str">
        <f t="shared" si="10"/>
        <v>F14-GAZİANTEP FREE ZONE</v>
      </c>
      <c r="AZ14" s="74" t="s">
        <v>1898</v>
      </c>
      <c r="BA14" s="76" t="s">
        <v>1937</v>
      </c>
      <c r="BB14" s="83" t="str">
        <f t="shared" si="15"/>
        <v>DTNM-Hectokilogram net of dry matter</v>
      </c>
      <c r="BD14" s="93" t="s">
        <v>1773</v>
      </c>
      <c r="BE14" s="96" t="s">
        <v>2039</v>
      </c>
      <c r="BF14" s="95" t="str">
        <f t="shared" si="11"/>
        <v>N760-Multimodal / combined transport document</v>
      </c>
      <c r="BH14" s="100" t="s">
        <v>2223</v>
      </c>
      <c r="BI14" s="103" t="s">
        <v>2224</v>
      </c>
      <c r="BJ14" s="102" t="str">
        <f t="shared" si="12"/>
        <v>Y932-Goods benefitting from a derogation to CITES controls according to Article 7(3) of Council Regulation (EC) No 338/97</v>
      </c>
    </row>
    <row r="15" spans="2:70" ht="15" customHeight="1" x14ac:dyDescent="0.35">
      <c r="B15" s="78" t="s">
        <v>112</v>
      </c>
      <c r="C15" s="79" t="s">
        <v>16</v>
      </c>
      <c r="D15" s="72" t="str">
        <f t="shared" si="0"/>
        <v>4C-Box, natural wood</v>
      </c>
      <c r="F15" s="4" t="s">
        <v>318</v>
      </c>
      <c r="G15" s="4" t="s">
        <v>1361</v>
      </c>
      <c r="H15" s="4" t="str">
        <f t="shared" si="1"/>
        <v>BDT-Bangladeshi Taka</v>
      </c>
      <c r="J15" s="22" t="s">
        <v>1975</v>
      </c>
      <c r="K15" s="89" t="s">
        <v>2010</v>
      </c>
      <c r="L15" s="6" t="str">
        <f t="shared" si="2"/>
        <v>N862-Declaration of origin</v>
      </c>
      <c r="N15" s="9" t="s">
        <v>229</v>
      </c>
      <c r="O15" s="29" t="s">
        <v>287</v>
      </c>
      <c r="P15" s="147" t="str">
        <f t="shared" si="3"/>
        <v>AU-Australia</v>
      </c>
      <c r="R15" s="13" t="s">
        <v>1761</v>
      </c>
      <c r="S15" s="13" t="s">
        <v>341</v>
      </c>
      <c r="T15" s="12" t="str">
        <f t="shared" si="4"/>
        <v>N355-Entry summary declaration</v>
      </c>
      <c r="AF15" s="22" t="s">
        <v>374</v>
      </c>
      <c r="AG15" s="22" t="s">
        <v>409</v>
      </c>
      <c r="AH15" s="6" t="str">
        <f t="shared" si="6"/>
        <v>01081-Permit to import pharmaceutical products</v>
      </c>
      <c r="AJ15" s="33" t="s">
        <v>1570</v>
      </c>
      <c r="AK15" s="33" t="s">
        <v>1571</v>
      </c>
      <c r="AL15" s="34" t="str">
        <f t="shared" si="7"/>
        <v>FCA-Free CARRIER</v>
      </c>
      <c r="AR15" s="46" t="s">
        <v>1704</v>
      </c>
      <c r="AS15" s="32" t="s">
        <v>1528</v>
      </c>
      <c r="AT15" s="32" t="str">
        <f t="shared" si="9"/>
        <v>41-Goods Arrived / Shipped for Processing and Expected to Return to the First Country of Export (Contracted)</v>
      </c>
      <c r="AV15" s="42" t="s">
        <v>1606</v>
      </c>
      <c r="AW15" s="40" t="s">
        <v>1645</v>
      </c>
      <c r="AX15" s="41" t="str">
        <f t="shared" si="10"/>
        <v>F15-İzmir FREE ZONE</v>
      </c>
      <c r="AZ15" s="74" t="s">
        <v>1899</v>
      </c>
      <c r="BA15" s="76" t="s">
        <v>1938</v>
      </c>
      <c r="BB15" s="83" t="str">
        <f t="shared" si="15"/>
        <v>DTNR-Hectokilogram of the standard quality</v>
      </c>
      <c r="BD15" s="93" t="s">
        <v>1758</v>
      </c>
      <c r="BE15" s="96" t="s">
        <v>340</v>
      </c>
      <c r="BF15" s="95" t="str">
        <f t="shared" si="11"/>
        <v>N271-Packing list</v>
      </c>
      <c r="BH15" s="100" t="s">
        <v>2225</v>
      </c>
      <c r="BI15" s="103" t="s">
        <v>2226</v>
      </c>
      <c r="BJ15" s="102" t="str">
        <f t="shared" si="12"/>
        <v>Y931-Goods benefitting from derogation to veterinary controls according to Article 6.1b of Commission Decision (EC) No 275/2007</v>
      </c>
    </row>
    <row r="16" spans="2:70" ht="15" customHeight="1" x14ac:dyDescent="0.35">
      <c r="B16" s="78" t="s">
        <v>113</v>
      </c>
      <c r="C16" s="79" t="s">
        <v>17</v>
      </c>
      <c r="D16" s="72" t="str">
        <f t="shared" si="0"/>
        <v>4D-Box, plywood</v>
      </c>
      <c r="F16" s="4" t="s">
        <v>1287</v>
      </c>
      <c r="G16" s="4" t="s">
        <v>1362</v>
      </c>
      <c r="H16" s="4" t="str">
        <f t="shared" si="1"/>
        <v>BBD-Barbados Dollar</v>
      </c>
      <c r="J16" s="22" t="s">
        <v>1976</v>
      </c>
      <c r="K16" s="89" t="s">
        <v>2011</v>
      </c>
      <c r="L16" s="6" t="str">
        <f t="shared" si="2"/>
        <v>C641-Dissostichus - Capture, import document</v>
      </c>
      <c r="N16" s="9" t="s">
        <v>230</v>
      </c>
      <c r="O16" s="29" t="s">
        <v>288</v>
      </c>
      <c r="P16" s="147" t="str">
        <f t="shared" si="3"/>
        <v>AW-Aruba</v>
      </c>
      <c r="R16" s="13" t="s">
        <v>1762</v>
      </c>
      <c r="S16" s="13" t="s">
        <v>342</v>
      </c>
      <c r="T16" s="12" t="str">
        <f t="shared" si="4"/>
        <v>N380-Commercial invoice</v>
      </c>
      <c r="AF16" s="22" t="s">
        <v>375</v>
      </c>
      <c r="AG16" s="22" t="s">
        <v>410</v>
      </c>
      <c r="AH16" s="6" t="str">
        <f t="shared" si="6"/>
        <v>01133-Permit to re-export goods</v>
      </c>
      <c r="AJ16" s="33" t="s">
        <v>1572</v>
      </c>
      <c r="AK16" s="33" t="s">
        <v>1573</v>
      </c>
      <c r="AL16" s="34" t="str">
        <f t="shared" si="7"/>
        <v>FOB-Free on Board</v>
      </c>
      <c r="AR16" s="46" t="s">
        <v>1703</v>
      </c>
      <c r="AS16" s="32" t="s">
        <v>1529</v>
      </c>
      <c r="AT16" s="32" t="str">
        <f t="shared" si="9"/>
        <v>42-Goods Arrived / Shipped for Processing and Not Expected to Return to the First Country of Origin (Without Ownership of Goods and Contracted)</v>
      </c>
      <c r="AV16" s="42" t="s">
        <v>1607</v>
      </c>
      <c r="AW16" s="40" t="s">
        <v>1646</v>
      </c>
      <c r="AX16" s="41" t="str">
        <f t="shared" si="10"/>
        <v>F16-BURSA FREE ZONE</v>
      </c>
      <c r="AZ16" s="74" t="s">
        <v>1900</v>
      </c>
      <c r="BA16" s="76" t="s">
        <v>1939</v>
      </c>
      <c r="BB16" s="83" t="str">
        <f t="shared" si="15"/>
        <v>DTNS-Hectokilogram of sugar with a yield in white sugar of 92%</v>
      </c>
      <c r="BD16" s="93" t="s">
        <v>1769</v>
      </c>
      <c r="BE16" s="96" t="s">
        <v>347</v>
      </c>
      <c r="BF16" s="95" t="str">
        <f t="shared" si="11"/>
        <v>N730-Road consignment note</v>
      </c>
      <c r="BH16" s="100" t="s">
        <v>2227</v>
      </c>
      <c r="BI16" s="103" t="s">
        <v>2228</v>
      </c>
      <c r="BJ16" s="102" t="str">
        <f t="shared" si="12"/>
        <v>Y054-Goods labelled according to the provisions of Article 12 of Regulation (EU) 2024/573</v>
      </c>
    </row>
    <row r="17" spans="2:62" ht="13.25" customHeight="1" x14ac:dyDescent="0.35">
      <c r="B17" s="78" t="s">
        <v>114</v>
      </c>
      <c r="C17" s="79" t="s">
        <v>18</v>
      </c>
      <c r="D17" s="72" t="str">
        <f t="shared" si="0"/>
        <v>4F-Box, reconstituted wood</v>
      </c>
      <c r="F17" s="4" t="s">
        <v>1288</v>
      </c>
      <c r="G17" s="4" t="s">
        <v>1363</v>
      </c>
      <c r="H17" s="4" t="str">
        <f t="shared" si="1"/>
        <v>BZD-Belize Dollar</v>
      </c>
      <c r="J17" s="22" t="s">
        <v>1977</v>
      </c>
      <c r="K17" s="89" t="s">
        <v>2012</v>
      </c>
      <c r="L17" s="6" t="str">
        <f t="shared" si="2"/>
        <v>NZZZ-Document equivalent to ‘ZZZ’ defined in Commission Delegated Regulation (EU) 2016/341 (Appendix D2: Additional codes for the computerised transit system)</v>
      </c>
      <c r="N17" s="9" t="s">
        <v>231</v>
      </c>
      <c r="O17" s="29" t="s">
        <v>289</v>
      </c>
      <c r="P17" s="147" t="str">
        <f t="shared" si="3"/>
        <v>AX-Åland Islands</v>
      </c>
      <c r="R17" s="13" t="s">
        <v>1763</v>
      </c>
      <c r="S17" s="13" t="s">
        <v>343</v>
      </c>
      <c r="T17" s="12" t="str">
        <f t="shared" si="4"/>
        <v>N703-House waybill</v>
      </c>
      <c r="AF17" s="22" t="s">
        <v>376</v>
      </c>
      <c r="AG17" s="22" t="s">
        <v>411</v>
      </c>
      <c r="AH17" s="6" t="str">
        <f t="shared" si="6"/>
        <v xml:space="preserve">01321-Permit to import and / or export of hazardous waste </v>
      </c>
      <c r="AJ17" s="33" t="s">
        <v>1348</v>
      </c>
      <c r="AK17" s="33" t="s">
        <v>263</v>
      </c>
      <c r="AL17" s="34" t="str">
        <f t="shared" si="7"/>
        <v>XXX-Other</v>
      </c>
      <c r="AR17" s="46" t="s">
        <v>1702</v>
      </c>
      <c r="AS17" s="32" t="s">
        <v>1530</v>
      </c>
      <c r="AT17" s="32" t="str">
        <f t="shared" si="9"/>
        <v>51-Goods Arrived / Shipped After Processing and Returned to the First Country of Export (Without Ownership of Goods and Contracted)</v>
      </c>
      <c r="AV17" s="42" t="s">
        <v>1608</v>
      </c>
      <c r="AW17" s="40" t="s">
        <v>1647</v>
      </c>
      <c r="AX17" s="41" t="str">
        <f t="shared" si="10"/>
        <v>F17-ADANA YUMURTALIK FREE ZONE</v>
      </c>
      <c r="AZ17" s="74" t="s">
        <v>1901</v>
      </c>
      <c r="BA17" s="76" t="s">
        <v>1940</v>
      </c>
      <c r="BB17" s="83" t="str">
        <f t="shared" si="15"/>
        <v>DTNZ-Hectokilogram per 1% by weight of sucrose</v>
      </c>
      <c r="BD17" s="93" t="s">
        <v>1768</v>
      </c>
      <c r="BE17" s="96" t="s">
        <v>2040</v>
      </c>
      <c r="BF17" s="95" t="str">
        <f t="shared" si="11"/>
        <v>N722-Road list - SMGS</v>
      </c>
      <c r="BH17" s="100" t="s">
        <v>2229</v>
      </c>
      <c r="BI17" s="103" t="s">
        <v>2230</v>
      </c>
      <c r="BJ17" s="102" t="str">
        <f t="shared" si="12"/>
        <v>Y926-Goods not concerned by import prohibition on fluorinated greenhouse gases</v>
      </c>
    </row>
    <row r="18" spans="2:62" ht="15" customHeight="1" x14ac:dyDescent="0.35">
      <c r="B18" s="78" t="s">
        <v>115</v>
      </c>
      <c r="C18" s="79" t="s">
        <v>19</v>
      </c>
      <c r="D18" s="72" t="str">
        <f t="shared" si="0"/>
        <v>4G-Box, fibreboard</v>
      </c>
      <c r="F18" s="4" t="s">
        <v>478</v>
      </c>
      <c r="G18" s="4" t="s">
        <v>1364</v>
      </c>
      <c r="H18" s="4" t="str">
        <f t="shared" si="1"/>
        <v>XOF-Benin, CFA Franc BCEAO</v>
      </c>
      <c r="J18" s="22" t="s">
        <v>1978</v>
      </c>
      <c r="K18" s="89" t="s">
        <v>2013</v>
      </c>
      <c r="L18" s="6" t="str">
        <f t="shared" si="2"/>
        <v>N941-Embargo permit</v>
      </c>
      <c r="N18" s="9" t="s">
        <v>232</v>
      </c>
      <c r="O18" s="29" t="s">
        <v>290</v>
      </c>
      <c r="P18" s="147" t="str">
        <f t="shared" si="3"/>
        <v>AZ-Azerbaijan</v>
      </c>
      <c r="R18" s="13" t="s">
        <v>1764</v>
      </c>
      <c r="S18" s="13" t="s">
        <v>344</v>
      </c>
      <c r="T18" s="12" t="str">
        <f t="shared" si="4"/>
        <v>N704-Master bill of lading</v>
      </c>
      <c r="AF18" s="22" t="s">
        <v>377</v>
      </c>
      <c r="AG18" s="22" t="s">
        <v>412</v>
      </c>
      <c r="AH18" s="6" t="str">
        <f t="shared" si="6"/>
        <v>01332-Permit to export a specific consignment of narcotic drugs</v>
      </c>
      <c r="AR18" s="46" t="s">
        <v>1701</v>
      </c>
      <c r="AS18" s="32" t="s">
        <v>1531</v>
      </c>
      <c r="AT18" s="32" t="str">
        <f t="shared" si="9"/>
        <v>52-Goods Arrived / Shipped After Processing and Returned to a Country Other than the First Issued Country</v>
      </c>
      <c r="AV18" s="42" t="s">
        <v>1609</v>
      </c>
      <c r="AW18" s="40" t="s">
        <v>1648</v>
      </c>
      <c r="AX18" s="41" t="str">
        <f t="shared" si="10"/>
        <v>F18-TÜBİTAK MAM TEKNOLOJİ FREE ZONE</v>
      </c>
      <c r="AZ18" s="74" t="s">
        <v>1902</v>
      </c>
      <c r="BA18" s="76" t="s">
        <v>1941</v>
      </c>
      <c r="BB18" s="83" t="str">
        <f t="shared" si="15"/>
        <v>EUR-Euro (used for statistical surveillance)</v>
      </c>
      <c r="BD18" s="188" t="s">
        <v>1781</v>
      </c>
      <c r="BE18" s="95" t="s">
        <v>2041</v>
      </c>
      <c r="BF18" s="95" t="str">
        <f t="shared" si="11"/>
        <v>N952-TIR Carnet</v>
      </c>
      <c r="BH18" s="100" t="s">
        <v>2231</v>
      </c>
      <c r="BI18" s="103" t="s">
        <v>2232</v>
      </c>
      <c r="BJ18" s="102" t="str">
        <f t="shared" si="12"/>
        <v>Y053-Goods not concerned by labelling requirements on fluorinated greenhouse gases as referred to Article 12, paragraph 1 of Regulation (EU) No 517/2014</v>
      </c>
    </row>
    <row r="19" spans="2:62" ht="17.399999999999999" customHeight="1" x14ac:dyDescent="0.35">
      <c r="B19" s="78" t="s">
        <v>116</v>
      </c>
      <c r="C19" s="79" t="s">
        <v>20</v>
      </c>
      <c r="D19" s="72" t="str">
        <f t="shared" si="0"/>
        <v>4H-Box, plastic</v>
      </c>
      <c r="F19" s="4" t="s">
        <v>321</v>
      </c>
      <c r="G19" s="4" t="s">
        <v>1365</v>
      </c>
      <c r="H19" s="4" t="str">
        <f t="shared" si="1"/>
        <v>BMD-Bermudian Dollar</v>
      </c>
      <c r="J19" s="22" t="s">
        <v>1979</v>
      </c>
      <c r="K19" s="89" t="s">
        <v>2028</v>
      </c>
      <c r="L19" s="6" t="str">
        <f t="shared" si="2"/>
        <v>Y986-Exemption from import prohibition according to articles 11.1 and 11.2 of Regulation (EU) No 517/2014</v>
      </c>
      <c r="N19" s="9" t="s">
        <v>233</v>
      </c>
      <c r="O19" s="29" t="s">
        <v>291</v>
      </c>
      <c r="P19" s="147" t="str">
        <f t="shared" si="3"/>
        <v>BA-Bosnia and Herzegovina</v>
      </c>
      <c r="R19" s="13" t="s">
        <v>1765</v>
      </c>
      <c r="S19" s="13" t="s">
        <v>345</v>
      </c>
      <c r="T19" s="12" t="str">
        <f t="shared" si="4"/>
        <v>N705-Bill of lading</v>
      </c>
      <c r="AF19" s="22" t="s">
        <v>378</v>
      </c>
      <c r="AG19" s="22" t="s">
        <v>413</v>
      </c>
      <c r="AH19" s="6" t="str">
        <f t="shared" si="6"/>
        <v>01341-Permit to import / export of ozone-depleting substances and</v>
      </c>
      <c r="AR19" s="46" t="s">
        <v>1700</v>
      </c>
      <c r="AS19" s="32" t="s">
        <v>1532</v>
      </c>
      <c r="AT19" s="32" t="str">
        <f t="shared" si="9"/>
        <v>60-Goods Received / Sent for Maintenance and Repair in return for Payment</v>
      </c>
      <c r="AV19" s="42" t="s">
        <v>1610</v>
      </c>
      <c r="AW19" s="40" t="s">
        <v>1649</v>
      </c>
      <c r="AX19" s="41" t="str">
        <f t="shared" si="10"/>
        <v>F19-KOCAELİ FREE ZONE</v>
      </c>
      <c r="AZ19" s="74" t="s">
        <v>1903</v>
      </c>
      <c r="BA19" s="76" t="s">
        <v>1942</v>
      </c>
      <c r="BB19" s="83" t="str">
        <f t="shared" si="15"/>
        <v>GFI-Gram of fissile isotopes</v>
      </c>
      <c r="BD19" s="189" t="s">
        <v>2196</v>
      </c>
      <c r="BE19" s="95" t="s">
        <v>2197</v>
      </c>
      <c r="BF19" s="95" t="str">
        <f t="shared" ref="BF19:BF21" si="17">CONCATENATE(BD19,"-",BE19)</f>
        <v>C625-Rhine Manifest</v>
      </c>
      <c r="BH19" s="105" t="s">
        <v>2233</v>
      </c>
      <c r="BI19" s="105" t="s">
        <v>2234</v>
      </c>
      <c r="BJ19" s="102" t="str">
        <f t="shared" si="12"/>
        <v>Y929-Goods not concerned by Regulation (EC) No 834/2007 (organic products)</v>
      </c>
    </row>
    <row r="20" spans="2:62" ht="16.75" customHeight="1" x14ac:dyDescent="0.35">
      <c r="B20" s="78" t="s">
        <v>117</v>
      </c>
      <c r="C20" s="79" t="s">
        <v>21</v>
      </c>
      <c r="D20" s="72" t="str">
        <f t="shared" si="0"/>
        <v>5H-Bag, woven plastic</v>
      </c>
      <c r="F20" s="4" t="s">
        <v>208</v>
      </c>
      <c r="G20" s="4" t="s">
        <v>1366</v>
      </c>
      <c r="H20" s="4" t="str">
        <f t="shared" si="1"/>
        <v>BYR-Belarussian Ruble</v>
      </c>
      <c r="J20" s="22" t="s">
        <v>1777</v>
      </c>
      <c r="K20" s="89" t="s">
        <v>1799</v>
      </c>
      <c r="L20" s="6" t="str">
        <f t="shared" si="2"/>
        <v>N821-External Community transit declaration / common transit, T1</v>
      </c>
      <c r="N20" s="9" t="s">
        <v>234</v>
      </c>
      <c r="O20" s="29" t="s">
        <v>292</v>
      </c>
      <c r="P20" s="147" t="str">
        <f t="shared" si="3"/>
        <v>BB-Barbados</v>
      </c>
      <c r="R20" s="13" t="s">
        <v>1766</v>
      </c>
      <c r="S20" s="13" t="s">
        <v>1794</v>
      </c>
      <c r="T20" s="12" t="str">
        <f t="shared" si="4"/>
        <v>N714-House bill of lading</v>
      </c>
      <c r="AF20" s="22" t="s">
        <v>379</v>
      </c>
      <c r="AG20" s="22" t="s">
        <v>414</v>
      </c>
      <c r="AH20" s="6" t="str">
        <f t="shared" si="6"/>
        <v>01999-Other permits</v>
      </c>
      <c r="AR20" s="46" t="s">
        <v>1699</v>
      </c>
      <c r="AS20" s="32" t="s">
        <v>1533</v>
      </c>
      <c r="AT20" s="32" t="str">
        <f t="shared" si="9"/>
        <v>61-Return of goods received / sent after maintenance and repair against payment</v>
      </c>
      <c r="AV20" s="42" t="s">
        <v>1611</v>
      </c>
      <c r="AW20" s="40" t="s">
        <v>1650</v>
      </c>
      <c r="AX20" s="41" t="str">
        <f t="shared" si="10"/>
        <v>F20-DENİZLİ FREE ZONE</v>
      </c>
      <c r="AZ20" s="74" t="s">
        <v>1904</v>
      </c>
      <c r="BA20" s="76" t="s">
        <v>1943</v>
      </c>
      <c r="BB20" s="83" t="str">
        <f t="shared" si="15"/>
        <v>GRM-Gram</v>
      </c>
      <c r="BD20" s="189" t="s">
        <v>2198</v>
      </c>
      <c r="BE20" s="95" t="s">
        <v>2199</v>
      </c>
      <c r="BF20" s="95" t="str">
        <f t="shared" si="17"/>
        <v>C664-CN22 declaration according to Article 144 of the Regulation (EU) 2015/2446 (UCC DA)</v>
      </c>
      <c r="BH20" s="105" t="s">
        <v>2235</v>
      </c>
      <c r="BI20" s="105" t="s">
        <v>2236</v>
      </c>
      <c r="BJ20" s="102" t="str">
        <f t="shared" si="12"/>
        <v>Y924-Goods not concerned by Regulation (EU) 2017/852</v>
      </c>
    </row>
    <row r="21" spans="2:62" ht="13.25" customHeight="1" x14ac:dyDescent="0.35">
      <c r="B21" s="78" t="s">
        <v>118</v>
      </c>
      <c r="C21" s="79" t="s">
        <v>22</v>
      </c>
      <c r="D21" s="72" t="str">
        <f t="shared" si="0"/>
        <v>5L-Bag, textile</v>
      </c>
      <c r="F21" s="4" t="s">
        <v>1289</v>
      </c>
      <c r="G21" s="4" t="s">
        <v>1367</v>
      </c>
      <c r="H21" s="4" t="str">
        <f t="shared" si="1"/>
        <v>BTN-Bhutan Ngultrum</v>
      </c>
      <c r="J21" s="22" t="s">
        <v>1754</v>
      </c>
      <c r="K21" s="89" t="s">
        <v>2014</v>
      </c>
      <c r="L21" s="6" t="str">
        <f t="shared" si="2"/>
        <v>C658-Fallback Accompanying Document for movements of excise goods under suspension of excise duty (FAD), as referred to in Article 8(1) Reg. (EC) No 684/2009</v>
      </c>
      <c r="N21" s="9" t="s">
        <v>235</v>
      </c>
      <c r="O21" s="29" t="s">
        <v>293</v>
      </c>
      <c r="P21" s="147" t="str">
        <f t="shared" si="3"/>
        <v>BD-Bangladesh</v>
      </c>
      <c r="R21" s="13" t="s">
        <v>1767</v>
      </c>
      <c r="S21" s="13" t="s">
        <v>1795</v>
      </c>
      <c r="T21" s="12" t="str">
        <f t="shared" si="4"/>
        <v>N720-Consignment note CIM</v>
      </c>
      <c r="AF21" s="22" t="s">
        <v>380</v>
      </c>
      <c r="AG21" s="22" t="s">
        <v>345</v>
      </c>
      <c r="AH21" s="6" t="str">
        <f t="shared" si="6"/>
        <v>02011-Bill of lading</v>
      </c>
      <c r="AR21" s="46" t="s">
        <v>1698</v>
      </c>
      <c r="AS21" s="32" t="s">
        <v>1534</v>
      </c>
      <c r="AT21" s="32" t="str">
        <f t="shared" si="9"/>
        <v>62-Incoming / Sent Items to See Maintenance without a Payment</v>
      </c>
      <c r="AV21" s="42" t="s">
        <v>1612</v>
      </c>
      <c r="AW21" s="40" t="s">
        <v>1651</v>
      </c>
      <c r="AX21" s="41" t="str">
        <f t="shared" si="10"/>
        <v>S11-ESENDERE BORDER TRADE CENTER</v>
      </c>
      <c r="AZ21" s="74" t="s">
        <v>1905</v>
      </c>
      <c r="BA21" s="76" t="s">
        <v>1944</v>
      </c>
      <c r="BB21" s="83" t="str">
        <f t="shared" si="15"/>
        <v>GRT-Gross tonnage</v>
      </c>
      <c r="BD21" s="191" t="s">
        <v>2200</v>
      </c>
      <c r="BE21" s="190" t="s">
        <v>2201</v>
      </c>
      <c r="BF21" s="104" t="str">
        <f t="shared" si="17"/>
        <v>C665-CN23 declaration according to Article 144 of the Regulation (EU) 2015/2446 (UCC DA)</v>
      </c>
      <c r="BH21" s="105" t="s">
        <v>2237</v>
      </c>
      <c r="BI21" s="105" t="s">
        <v>2238</v>
      </c>
      <c r="BJ21" s="102" t="str">
        <f t="shared" si="12"/>
        <v>Y057-Goods not requiring the presentation of a FLEGT import licence for timber</v>
      </c>
    </row>
    <row r="22" spans="2:62" ht="15" customHeight="1" x14ac:dyDescent="0.35">
      <c r="B22" s="78" t="s">
        <v>119</v>
      </c>
      <c r="C22" s="79" t="s">
        <v>23</v>
      </c>
      <c r="D22" s="72" t="str">
        <f t="shared" si="0"/>
        <v>5M-Bag, paper</v>
      </c>
      <c r="F22" s="4" t="s">
        <v>314</v>
      </c>
      <c r="G22" s="4" t="s">
        <v>1368</v>
      </c>
      <c r="H22" s="4" t="str">
        <f t="shared" si="1"/>
        <v>AED-United Arab Emirates Dirham</v>
      </c>
      <c r="J22" s="22" t="s">
        <v>1980</v>
      </c>
      <c r="K22" s="89" t="s">
        <v>2015</v>
      </c>
      <c r="L22" s="6" t="str">
        <f t="shared" si="2"/>
        <v>C690-FLEGT wood import license</v>
      </c>
      <c r="N22" s="9" t="s">
        <v>0</v>
      </c>
      <c r="O22" s="29" t="s">
        <v>294</v>
      </c>
      <c r="P22" s="147" t="str">
        <f t="shared" si="3"/>
        <v>BE-Belgian</v>
      </c>
      <c r="R22" s="13" t="s">
        <v>1768</v>
      </c>
      <c r="S22" s="13" t="s">
        <v>346</v>
      </c>
      <c r="T22" s="12" t="str">
        <f t="shared" si="4"/>
        <v>N722-Road list SMGS</v>
      </c>
      <c r="AF22" s="22" t="s">
        <v>381</v>
      </c>
      <c r="AG22" s="22" t="s">
        <v>415</v>
      </c>
      <c r="AH22" s="6" t="str">
        <f t="shared" si="6"/>
        <v>02012-Transport document - river mode  / waybill</v>
      </c>
      <c r="AR22" s="46" t="s">
        <v>1697</v>
      </c>
      <c r="AS22" s="32" t="s">
        <v>1535</v>
      </c>
      <c r="AT22" s="32" t="str">
        <f t="shared" si="9"/>
        <v>63-Return of Goods Arrived / Sent After Maintenance and Repair without a Payment</v>
      </c>
      <c r="AV22" s="42" t="s">
        <v>1613</v>
      </c>
      <c r="AW22" s="40" t="s">
        <v>1652</v>
      </c>
      <c r="AX22" s="41" t="str">
        <f t="shared" si="10"/>
        <v>S12-KAPIKÖY BORDER TRADE CENTER</v>
      </c>
      <c r="AZ22" s="74" t="s">
        <v>1906</v>
      </c>
      <c r="BA22" s="76" t="s">
        <v>1945</v>
      </c>
      <c r="BB22" s="83" t="str">
        <f t="shared" si="15"/>
        <v>HLT-Hectolitre</v>
      </c>
      <c r="BH22" s="105" t="s">
        <v>2239</v>
      </c>
      <c r="BI22" s="105" t="s">
        <v>2240</v>
      </c>
      <c r="BJ22" s="102" t="str">
        <f t="shared" si="12"/>
        <v>Y950-Goods other than pre-charged equipment with hydrofluorocarbons</v>
      </c>
    </row>
    <row r="23" spans="2:62" ht="12.65" customHeight="1" x14ac:dyDescent="0.35">
      <c r="B23" s="78" t="s">
        <v>120</v>
      </c>
      <c r="C23" s="79" t="s">
        <v>24</v>
      </c>
      <c r="D23" s="72" t="str">
        <f t="shared" si="0"/>
        <v>6H-Composite packaging, plastic receptacle</v>
      </c>
      <c r="F23" s="4" t="s">
        <v>1290</v>
      </c>
      <c r="G23" s="4" t="s">
        <v>1369</v>
      </c>
      <c r="H23" s="4" t="str">
        <f t="shared" si="1"/>
        <v>BOB-Bolivian Boliviano</v>
      </c>
      <c r="J23" s="22" t="s">
        <v>1981</v>
      </c>
      <c r="K23" s="89" t="s">
        <v>2029</v>
      </c>
      <c r="L23" s="6" t="str">
        <f t="shared" si="2"/>
        <v>Y955-Goods other than those falling under the import prohibitions defined in article 7.2 of Regulation (EU) No 517/2014</v>
      </c>
      <c r="N23" s="9" t="s">
        <v>236</v>
      </c>
      <c r="O23" s="29" t="s">
        <v>295</v>
      </c>
      <c r="P23" s="147" t="str">
        <f t="shared" si="3"/>
        <v>BF-Burkina Faso</v>
      </c>
      <c r="R23" s="13" t="s">
        <v>1769</v>
      </c>
      <c r="S23" s="13" t="s">
        <v>347</v>
      </c>
      <c r="T23" s="12" t="str">
        <f t="shared" si="4"/>
        <v>N730-Road consignment note</v>
      </c>
      <c r="AF23" s="22" t="s">
        <v>382</v>
      </c>
      <c r="AG23" s="22" t="s">
        <v>416</v>
      </c>
      <c r="AH23" s="6" t="str">
        <f t="shared" si="6"/>
        <v>02013-SMGS</v>
      </c>
      <c r="AR23" s="46" t="s">
        <v>1696</v>
      </c>
      <c r="AS23" s="32" t="s">
        <v>1536</v>
      </c>
      <c r="AT23" s="32" t="str">
        <f t="shared" si="9"/>
        <v>64-Temporary Arrival / Sent Goods for Exhibition and Fair</v>
      </c>
      <c r="AV23" s="42" t="s">
        <v>1614</v>
      </c>
      <c r="AW23" s="40" t="s">
        <v>1653</v>
      </c>
      <c r="AX23" s="41" t="str">
        <f t="shared" si="10"/>
        <v>S13-SARISU BORDER TRADE CENTER</v>
      </c>
      <c r="AZ23" s="74" t="s">
        <v>1907</v>
      </c>
      <c r="BA23" s="76" t="s">
        <v>1946</v>
      </c>
      <c r="BB23" s="83" t="str">
        <f t="shared" si="15"/>
        <v>HMT-Hectometre</v>
      </c>
      <c r="BH23" s="105" t="s">
        <v>2241</v>
      </c>
      <c r="BI23" s="105" t="s">
        <v>2242</v>
      </c>
      <c r="BJ23" s="102" t="str">
        <f t="shared" si="12"/>
        <v>Y902-Goods other than those described in the OZ footnotes linked to the measure</v>
      </c>
    </row>
    <row r="24" spans="2:62" ht="10.25" customHeight="1" x14ac:dyDescent="0.35">
      <c r="B24" s="78" t="s">
        <v>121</v>
      </c>
      <c r="C24" s="79" t="s">
        <v>25</v>
      </c>
      <c r="D24" s="72" t="str">
        <f t="shared" si="0"/>
        <v>6P-Composite packaging, glass receptacle</v>
      </c>
      <c r="F24" s="4" t="s">
        <v>1291</v>
      </c>
      <c r="G24" s="4" t="s">
        <v>1370</v>
      </c>
      <c r="H24" s="4" t="str">
        <f t="shared" si="1"/>
        <v>BOV-Mvdol</v>
      </c>
      <c r="J24" s="22" t="s">
        <v>1982</v>
      </c>
      <c r="K24" s="89" t="s">
        <v>2030</v>
      </c>
      <c r="L24" s="6" t="str">
        <f t="shared" si="2"/>
        <v>Y956-Goods other than those falling under the reduction of the quantity of hydrofluorocarbons placed on the EU market defined in article 15 of Regulation (EU) No 517/2014</v>
      </c>
      <c r="N24" s="9" t="s">
        <v>237</v>
      </c>
      <c r="O24" s="29" t="s">
        <v>296</v>
      </c>
      <c r="P24" s="147" t="str">
        <f t="shared" si="3"/>
        <v>BG-Bulgarian</v>
      </c>
      <c r="R24" s="13" t="s">
        <v>1770</v>
      </c>
      <c r="S24" s="13" t="s">
        <v>419</v>
      </c>
      <c r="T24" s="12" t="str">
        <f t="shared" si="4"/>
        <v>N740-Air waybill</v>
      </c>
      <c r="AF24" s="22" t="s">
        <v>383</v>
      </c>
      <c r="AG24" s="22" t="s">
        <v>417</v>
      </c>
      <c r="AH24" s="6" t="str">
        <f t="shared" si="6"/>
        <v>02014-Other documents, rail mode</v>
      </c>
      <c r="AR24" s="46" t="s">
        <v>1695</v>
      </c>
      <c r="AS24" s="32" t="s">
        <v>1537</v>
      </c>
      <c r="AT24" s="32" t="str">
        <f t="shared" si="9"/>
        <v>65-Return of Goods Arrived / Sent Temporarily for Exhibition and Fair</v>
      </c>
      <c r="AV24" s="42" t="s">
        <v>1615</v>
      </c>
      <c r="AW24" s="40" t="s">
        <v>1654</v>
      </c>
      <c r="AX24" s="41" t="str">
        <f t="shared" si="10"/>
        <v>S41-DİLUCU BORDER TRADE CENTER</v>
      </c>
      <c r="AZ24" s="74" t="s">
        <v>1908</v>
      </c>
      <c r="BA24" s="76" t="s">
        <v>1947</v>
      </c>
      <c r="BB24" s="83" t="str">
        <f t="shared" si="15"/>
        <v>KAC-Kilogram net of acesulfame potassium</v>
      </c>
      <c r="BH24" s="105" t="s">
        <v>2243</v>
      </c>
      <c r="BI24" s="105" t="s">
        <v>2244</v>
      </c>
      <c r="BJ24" s="102" t="str">
        <f t="shared" si="12"/>
        <v>Y907-Goods that will be used by military or civil personnel of a Member State, if such personnel is taking part in an EU or UN peace keeping or crisis management operation in the third country of destination, or in an operation based on agreements between Member States and third countries in the field of defence</v>
      </c>
    </row>
    <row r="25" spans="2:62" ht="16.75" customHeight="1" x14ac:dyDescent="0.35">
      <c r="B25" s="78" t="s">
        <v>870</v>
      </c>
      <c r="C25" s="79" t="s">
        <v>871</v>
      </c>
      <c r="D25" s="72" t="str">
        <f t="shared" si="0"/>
        <v>7A-Caja para automóvil (case car)</v>
      </c>
      <c r="F25" s="4" t="s">
        <v>1292</v>
      </c>
      <c r="G25" s="4" t="s">
        <v>1371</v>
      </c>
      <c r="H25" s="4" t="str">
        <f t="shared" si="1"/>
        <v>BAM-Convertible Marks</v>
      </c>
      <c r="J25" s="22" t="s">
        <v>1983</v>
      </c>
      <c r="K25" s="89" t="s">
        <v>2016</v>
      </c>
      <c r="L25" s="6" t="str">
        <f t="shared" si="2"/>
        <v>Y976-Goods other than those falling under the registration obligation defined in Article 1.2 of Regulation (EU) 1191/2014 as amended by Commission Implementing Regulation (EU) 2017/1375</v>
      </c>
      <c r="N25" s="9" t="s">
        <v>238</v>
      </c>
      <c r="O25" s="29" t="s">
        <v>297</v>
      </c>
      <c r="P25" s="147" t="str">
        <f t="shared" si="3"/>
        <v>BH-Bahrain</v>
      </c>
      <c r="R25" s="13" t="s">
        <v>1771</v>
      </c>
      <c r="S25" s="13" t="s">
        <v>348</v>
      </c>
      <c r="T25" s="12" t="str">
        <f t="shared" si="4"/>
        <v>N741-Master air waybill</v>
      </c>
      <c r="AF25" s="22" t="s">
        <v>384</v>
      </c>
      <c r="AG25" s="22" t="s">
        <v>418</v>
      </c>
      <c r="AH25" s="6" t="str">
        <f t="shared" si="6"/>
        <v>02016-Other transport document, road mode</v>
      </c>
      <c r="AR25" s="46" t="s">
        <v>1694</v>
      </c>
      <c r="AS25" s="32" t="s">
        <v>1538</v>
      </c>
      <c r="AT25" s="32" t="str">
        <f t="shared" si="9"/>
        <v>66-Temporary Incoming / Sent Goods for Testing, Control and Sample Purposes</v>
      </c>
      <c r="AV25" s="42" t="s">
        <v>1616</v>
      </c>
      <c r="AW25" s="40" t="s">
        <v>1655</v>
      </c>
      <c r="AX25" s="41" t="str">
        <f t="shared" si="10"/>
        <v>001-FRANCE</v>
      </c>
      <c r="AZ25" s="74" t="s">
        <v>1909</v>
      </c>
      <c r="BA25" s="76" t="s">
        <v>1948</v>
      </c>
      <c r="BB25" s="83" t="str">
        <f t="shared" si="15"/>
        <v>KCC-Kilogram of choline chloride</v>
      </c>
      <c r="BH25" s="105" t="s">
        <v>2245</v>
      </c>
      <c r="BI25" s="105" t="s">
        <v>2246</v>
      </c>
      <c r="BJ25" s="102" t="str">
        <f t="shared" si="12"/>
        <v>Y029-Other authorised economic operator (AEO certificate number)</v>
      </c>
    </row>
    <row r="26" spans="2:62" ht="15" customHeight="1" x14ac:dyDescent="0.35">
      <c r="B26" s="78" t="s">
        <v>872</v>
      </c>
      <c r="C26" s="79" t="s">
        <v>873</v>
      </c>
      <c r="D26" s="72" t="str">
        <f t="shared" si="0"/>
        <v>7B-Caja (case), de madera</v>
      </c>
      <c r="F26" s="4" t="s">
        <v>324</v>
      </c>
      <c r="G26" s="4" t="s">
        <v>1372</v>
      </c>
      <c r="H26" s="4" t="str">
        <f t="shared" si="1"/>
        <v>BWP-Botswana Pula</v>
      </c>
      <c r="J26" s="22" t="s">
        <v>1984</v>
      </c>
      <c r="K26" s="89" t="s">
        <v>2017</v>
      </c>
      <c r="L26" s="6" t="str">
        <f t="shared" si="2"/>
        <v>N911-Import licence</v>
      </c>
      <c r="N26" s="9" t="s">
        <v>1</v>
      </c>
      <c r="O26" s="29" t="s">
        <v>298</v>
      </c>
      <c r="P26" s="147" t="str">
        <f t="shared" si="3"/>
        <v>BI-Burundi</v>
      </c>
      <c r="R26" s="13" t="s">
        <v>1772</v>
      </c>
      <c r="S26" s="13" t="s">
        <v>1796</v>
      </c>
      <c r="T26" s="12" t="str">
        <f t="shared" si="4"/>
        <v>N750-Movement by post including parcel post</v>
      </c>
      <c r="V26"/>
      <c r="AF26" s="22" t="s">
        <v>385</v>
      </c>
      <c r="AG26" s="22" t="s">
        <v>419</v>
      </c>
      <c r="AH26" s="6" t="str">
        <f t="shared" si="6"/>
        <v>02017-Air waybill</v>
      </c>
      <c r="AR26" s="46" t="s">
        <v>1693</v>
      </c>
      <c r="AS26" s="32" t="s">
        <v>1539</v>
      </c>
      <c r="AT26" s="32" t="str">
        <f t="shared" si="9"/>
        <v>67-Return of Transient Incoming / Outgoing Goods for Testing, Inspection, Sampling</v>
      </c>
      <c r="AV26" s="42" t="s">
        <v>1617</v>
      </c>
      <c r="AW26" s="40" t="s">
        <v>1656</v>
      </c>
      <c r="AX26" s="41" t="str">
        <f t="shared" si="10"/>
        <v>003-NETHERLANDS</v>
      </c>
      <c r="AZ26" s="74" t="s">
        <v>1910</v>
      </c>
      <c r="BA26" s="76" t="s">
        <v>1949</v>
      </c>
      <c r="BB26" s="83" t="str">
        <f t="shared" si="15"/>
        <v>KCL-Tonne of potassium chloride</v>
      </c>
      <c r="BH26" s="105" t="s">
        <v>2247</v>
      </c>
      <c r="BI26" s="105" t="s">
        <v>2248</v>
      </c>
      <c r="BJ26" s="102" t="str">
        <f t="shared" si="12"/>
        <v>Y032-Other goods than those seal products mentioned in Regulation (EU) 2015/1850 (OJ L 271)</v>
      </c>
    </row>
    <row r="27" spans="2:62" ht="15" customHeight="1" x14ac:dyDescent="0.35">
      <c r="B27" s="78" t="s">
        <v>874</v>
      </c>
      <c r="C27" s="79" t="s">
        <v>875</v>
      </c>
      <c r="D27" s="72" t="str">
        <f t="shared" si="0"/>
        <v>8A-Paleta de madera</v>
      </c>
      <c r="F27" s="4" t="s">
        <v>1293</v>
      </c>
      <c r="G27" s="4" t="s">
        <v>1373</v>
      </c>
      <c r="H27" s="4" t="str">
        <f t="shared" si="1"/>
        <v>BRL-Brazilian Real</v>
      </c>
      <c r="J27" s="22" t="s">
        <v>1778</v>
      </c>
      <c r="K27" s="89" t="s">
        <v>1800</v>
      </c>
      <c r="L27" s="6" t="str">
        <f t="shared" si="2"/>
        <v>N822-Internal Community transit declaration T2</v>
      </c>
      <c r="N27" s="9" t="s">
        <v>239</v>
      </c>
      <c r="O27" s="29" t="s">
        <v>299</v>
      </c>
      <c r="P27" s="147" t="str">
        <f t="shared" si="3"/>
        <v>BJ-Benin</v>
      </c>
      <c r="R27" s="13" t="s">
        <v>1773</v>
      </c>
      <c r="S27" s="13" t="s">
        <v>349</v>
      </c>
      <c r="T27" s="12" t="str">
        <f t="shared" si="4"/>
        <v>N760-Multimodal/combined transport document</v>
      </c>
      <c r="V27"/>
      <c r="AF27" s="22" t="s">
        <v>386</v>
      </c>
      <c r="AG27" s="22" t="s">
        <v>420</v>
      </c>
      <c r="AH27" s="6" t="str">
        <f t="shared" si="6"/>
        <v>02018-Transport documents, pipeline transport</v>
      </c>
      <c r="AR27" s="46" t="s">
        <v>1692</v>
      </c>
      <c r="AS27" s="32" t="s">
        <v>1540</v>
      </c>
      <c r="AT27" s="32" t="str">
        <f t="shared" si="9"/>
        <v>70-Processes on Joint Defense Projects and Intergovernmental Production Programs</v>
      </c>
      <c r="AV27" s="42" t="s">
        <v>1618</v>
      </c>
      <c r="AW27" s="40" t="s">
        <v>1657</v>
      </c>
      <c r="AX27" s="41" t="str">
        <f t="shared" si="10"/>
        <v>004-GERMANY</v>
      </c>
      <c r="AZ27" s="74" t="s">
        <v>1911</v>
      </c>
      <c r="BA27" s="76" t="s">
        <v>1950</v>
      </c>
      <c r="BB27" s="83" t="str">
        <f t="shared" si="15"/>
        <v>KGM-Kilogram</v>
      </c>
      <c r="BH27" s="105" t="s">
        <v>2249</v>
      </c>
      <c r="BI27" s="105" t="s">
        <v>2250</v>
      </c>
      <c r="BJ27" s="102" t="str">
        <f t="shared" si="12"/>
        <v>Y922-Other than cats and dogs fur as mentioned by Regulation (EC) No 1523/2007 (OJ L 343)</v>
      </c>
    </row>
    <row r="28" spans="2:62" ht="15" customHeight="1" x14ac:dyDescent="0.35">
      <c r="B28" s="78" t="s">
        <v>876</v>
      </c>
      <c r="C28" s="79" t="s">
        <v>877</v>
      </c>
      <c r="D28" s="72" t="str">
        <f t="shared" si="0"/>
        <v>8B-Cajón de madera</v>
      </c>
      <c r="F28" s="4" t="s">
        <v>322</v>
      </c>
      <c r="G28" s="4" t="s">
        <v>1374</v>
      </c>
      <c r="H28" s="4" t="str">
        <f t="shared" si="1"/>
        <v>BND-Brunei Dollar</v>
      </c>
      <c r="J28" s="22" t="s">
        <v>1985</v>
      </c>
      <c r="K28" s="89" t="s">
        <v>2018</v>
      </c>
      <c r="L28" s="6" t="str">
        <f t="shared" si="2"/>
        <v>L116-Kimberley Process Certificate</v>
      </c>
      <c r="N28" s="9" t="s">
        <v>240</v>
      </c>
      <c r="O28" s="29" t="s">
        <v>300</v>
      </c>
      <c r="P28" s="147" t="str">
        <f t="shared" si="3"/>
        <v>BL-Saint Barthélemy</v>
      </c>
      <c r="R28" s="13" t="s">
        <v>1774</v>
      </c>
      <c r="S28" s="13" t="s">
        <v>350</v>
      </c>
      <c r="T28" s="12" t="str">
        <f t="shared" si="4"/>
        <v>N785-Cargo manifest</v>
      </c>
      <c r="V28"/>
      <c r="AF28" s="22" t="s">
        <v>387</v>
      </c>
      <c r="AG28" s="22" t="s">
        <v>352</v>
      </c>
      <c r="AH28" s="6" t="str">
        <f t="shared" si="6"/>
        <v>02025-ATA carnet</v>
      </c>
      <c r="AR28" s="46" t="s">
        <v>1691</v>
      </c>
      <c r="AS28" s="32" t="s">
        <v>1541</v>
      </c>
      <c r="AT28" s="32" t="str">
        <f t="shared" si="9"/>
        <v>80-No Separate Billing of Goods; Scope of a General Construction or Engineering Contract Covering the Procurement of Construction Material and Technical Equipment for a Single Invoice for the Entire Contract</v>
      </c>
      <c r="AV28" s="42" t="s">
        <v>1619</v>
      </c>
      <c r="AW28" s="40" t="s">
        <v>1658</v>
      </c>
      <c r="AX28" s="41" t="str">
        <f t="shared" si="10"/>
        <v>005-ITALY</v>
      </c>
      <c r="AZ28" s="74" t="s">
        <v>1912</v>
      </c>
      <c r="BA28" s="76" t="s">
        <v>1951</v>
      </c>
      <c r="BB28" s="83" t="str">
        <f t="shared" si="15"/>
        <v>KGMA-Kilogram total alcohol</v>
      </c>
      <c r="BH28" s="105" t="s">
        <v>2251</v>
      </c>
      <c r="BI28" s="105" t="s">
        <v>2252</v>
      </c>
      <c r="BJ28" s="102" t="str">
        <f t="shared" si="12"/>
        <v>Y026-Principal (AEO certificate number)</v>
      </c>
    </row>
    <row r="29" spans="2:62" ht="15" customHeight="1" x14ac:dyDescent="0.35">
      <c r="B29" s="78" t="s">
        <v>878</v>
      </c>
      <c r="C29" s="79" t="s">
        <v>879</v>
      </c>
      <c r="D29" s="72" t="str">
        <f t="shared" si="0"/>
        <v>8C-Haz de leña</v>
      </c>
      <c r="F29" s="4" t="s">
        <v>207</v>
      </c>
      <c r="G29" s="4" t="s">
        <v>1375</v>
      </c>
      <c r="H29" s="4" t="str">
        <f t="shared" si="1"/>
        <v>BGN-Bulgarian Lev</v>
      </c>
      <c r="J29" s="22" t="s">
        <v>1986</v>
      </c>
      <c r="K29" s="89" t="s">
        <v>2019</v>
      </c>
      <c r="L29" s="6" t="str">
        <f t="shared" si="2"/>
        <v>L100-Import licence "controlled substances" (ozone), issued by the Commission</v>
      </c>
      <c r="N29" s="9" t="s">
        <v>130</v>
      </c>
      <c r="O29" s="29" t="s">
        <v>301</v>
      </c>
      <c r="P29" s="147" t="str">
        <f t="shared" si="3"/>
        <v>BM-Bermuda</v>
      </c>
      <c r="R29" s="13" t="s">
        <v>1775</v>
      </c>
      <c r="S29" s="13" t="s">
        <v>1797</v>
      </c>
      <c r="T29" s="12" t="str">
        <f t="shared" si="4"/>
        <v>N787-Bordereau (cargo load list)</v>
      </c>
      <c r="V29"/>
      <c r="AF29" s="22" t="s">
        <v>388</v>
      </c>
      <c r="AG29" s="22" t="s">
        <v>421</v>
      </c>
      <c r="AH29" s="6" t="str">
        <f t="shared" si="6"/>
        <v>02099-Other transport documents</v>
      </c>
      <c r="AR29" s="46" t="s">
        <v>1690</v>
      </c>
      <c r="AS29" s="32" t="s">
        <v>1542</v>
      </c>
      <c r="AT29" s="32" t="str">
        <f t="shared" si="9"/>
        <v>91-Other Commercial Transactions - Leasing, Borrowing and Operational Leasing for More Than 24 Months</v>
      </c>
      <c r="AV29" s="42" t="s">
        <v>1620</v>
      </c>
      <c r="AW29" s="40" t="s">
        <v>1659</v>
      </c>
      <c r="AX29" s="41" t="str">
        <f t="shared" si="10"/>
        <v>006-UNITED KINGDOM</v>
      </c>
      <c r="AZ29" s="74" t="s">
        <v>1913</v>
      </c>
      <c r="BA29" s="76" t="s">
        <v>1952</v>
      </c>
      <c r="BB29" s="83" t="str">
        <f t="shared" si="15"/>
        <v>KGME-Kilogram of drained net weight</v>
      </c>
      <c r="BH29" s="105" t="s">
        <v>2253</v>
      </c>
      <c r="BI29" s="105" t="s">
        <v>2254</v>
      </c>
      <c r="BJ29" s="102" t="str">
        <f t="shared" si="12"/>
        <v>Y901-Product not included in the dual use list</v>
      </c>
    </row>
    <row r="30" spans="2:62" ht="15" customHeight="1" x14ac:dyDescent="0.35">
      <c r="B30" s="78" t="s">
        <v>122</v>
      </c>
      <c r="C30" s="79" t="s">
        <v>26</v>
      </c>
      <c r="D30" s="72" t="str">
        <f t="shared" si="0"/>
        <v>AA-Intermediate bulk container, rigid plastic</v>
      </c>
      <c r="F30" s="4" t="s">
        <v>478</v>
      </c>
      <c r="G30" s="4" t="s">
        <v>1376</v>
      </c>
      <c r="H30" s="4" t="str">
        <f t="shared" si="1"/>
        <v>XOF-Burkino Faso, CFA Franc BCEAO</v>
      </c>
      <c r="J30" s="22" t="s">
        <v>1987</v>
      </c>
      <c r="K30" s="89" t="s">
        <v>2020</v>
      </c>
      <c r="L30" s="6" t="str">
        <f t="shared" si="2"/>
        <v>N954-Movement certificate EUR.1</v>
      </c>
      <c r="N30" s="9" t="s">
        <v>241</v>
      </c>
      <c r="O30" s="29" t="s">
        <v>302</v>
      </c>
      <c r="P30" s="147" t="str">
        <f t="shared" si="3"/>
        <v>BN-Brunei Darussalam</v>
      </c>
      <c r="R30" s="13" t="s">
        <v>1776</v>
      </c>
      <c r="S30" s="13" t="s">
        <v>1798</v>
      </c>
      <c r="T30" s="12" t="str">
        <f t="shared" si="4"/>
        <v>N820-Transit declaration "T"</v>
      </c>
      <c r="V30"/>
      <c r="AF30" s="22" t="s">
        <v>389</v>
      </c>
      <c r="AG30" s="22" t="s">
        <v>422</v>
      </c>
      <c r="AH30" s="6" t="str">
        <f t="shared" si="6"/>
        <v>03011-Contract</v>
      </c>
      <c r="AR30" s="46" t="s">
        <v>1689</v>
      </c>
      <c r="AS30" s="32" t="s">
        <v>1543</v>
      </c>
      <c r="AT30" s="32" t="str">
        <f t="shared" si="9"/>
        <v>99-Other Commercial Transactions</v>
      </c>
      <c r="AV30" s="42" t="s">
        <v>1621</v>
      </c>
      <c r="AW30" s="40" t="s">
        <v>1660</v>
      </c>
      <c r="AX30" s="41" t="str">
        <f t="shared" si="10"/>
        <v>007-IRELAND</v>
      </c>
      <c r="AZ30" s="74" t="s">
        <v>1914</v>
      </c>
      <c r="BA30" s="76" t="s">
        <v>1953</v>
      </c>
      <c r="BB30" s="83" t="str">
        <f t="shared" si="15"/>
        <v>KGMG-Kilogram , gross</v>
      </c>
      <c r="BH30" s="105" t="s">
        <v>2255</v>
      </c>
      <c r="BI30" s="105" t="s">
        <v>2256</v>
      </c>
      <c r="BJ30" s="102" t="str">
        <f t="shared" si="12"/>
        <v>Y118-Product not in conformity — release for free circulation not authorised — Regulation (EU) 2019/1020, Art. 28(2)</v>
      </c>
    </row>
    <row r="31" spans="2:62" ht="16.75" customHeight="1" x14ac:dyDescent="0.35">
      <c r="B31" s="78" t="s">
        <v>123</v>
      </c>
      <c r="C31" s="79" t="s">
        <v>27</v>
      </c>
      <c r="D31" s="72" t="str">
        <f t="shared" si="0"/>
        <v>AB-Receptacle, fibre</v>
      </c>
      <c r="F31" s="4" t="s">
        <v>320</v>
      </c>
      <c r="G31" s="4" t="s">
        <v>1377</v>
      </c>
      <c r="H31" s="4" t="str">
        <f t="shared" si="1"/>
        <v>BIF-Burundi Franc</v>
      </c>
      <c r="J31" s="22" t="s">
        <v>1988</v>
      </c>
      <c r="K31" s="89" t="s">
        <v>2021</v>
      </c>
      <c r="L31" s="6" t="str">
        <f t="shared" si="2"/>
        <v>N002-Certificate of conformity with the European Union marketing standards for fresh fruit and vegetables</v>
      </c>
      <c r="N31" s="9" t="s">
        <v>242</v>
      </c>
      <c r="O31" s="29" t="s">
        <v>303</v>
      </c>
      <c r="P31" s="147" t="str">
        <f t="shared" si="3"/>
        <v>BO-Bolivia</v>
      </c>
      <c r="R31" s="13" t="s">
        <v>1777</v>
      </c>
      <c r="S31" s="13" t="s">
        <v>1799</v>
      </c>
      <c r="T31" s="12" t="str">
        <f t="shared" si="4"/>
        <v>N821-External Community transit declaration / common transit, T1</v>
      </c>
      <c r="V31"/>
      <c r="AF31" s="22" t="s">
        <v>390</v>
      </c>
      <c r="AG31" s="22" t="s">
        <v>423</v>
      </c>
      <c r="AH31" s="6" t="str">
        <f t="shared" si="6"/>
        <v>03012-Addendum to the contract, code 03011</v>
      </c>
      <c r="AV31" s="42" t="s">
        <v>1622</v>
      </c>
      <c r="AW31" s="40" t="s">
        <v>1661</v>
      </c>
      <c r="AX31" s="41" t="str">
        <f t="shared" si="10"/>
        <v>008-DENMARK</v>
      </c>
      <c r="AZ31" s="75" t="s">
        <v>1915</v>
      </c>
      <c r="BA31" s="75" t="s">
        <v>1954</v>
      </c>
      <c r="BB31" s="83" t="str">
        <f t="shared" si="15"/>
        <v>KGMP-Kilogram of lactic matter</v>
      </c>
      <c r="BH31" s="105" t="s">
        <v>2257</v>
      </c>
      <c r="BI31" s="105" t="s">
        <v>2258</v>
      </c>
      <c r="BJ31" s="102" t="str">
        <f t="shared" si="12"/>
        <v>Y923-Product not subjected to the provisions of Regulation (EC) No 1013/2006 (OJ L 190)</v>
      </c>
    </row>
    <row r="32" spans="2:62" ht="15" customHeight="1" x14ac:dyDescent="0.35">
      <c r="B32" s="78" t="s">
        <v>124</v>
      </c>
      <c r="C32" s="79" t="s">
        <v>28</v>
      </c>
      <c r="D32" s="72" t="str">
        <f t="shared" si="0"/>
        <v>AC-Receptacle, paper</v>
      </c>
      <c r="F32" s="4" t="s">
        <v>330</v>
      </c>
      <c r="G32" s="4" t="s">
        <v>1378</v>
      </c>
      <c r="H32" s="4" t="str">
        <f t="shared" si="1"/>
        <v>GIP-Gibraltar Pound</v>
      </c>
      <c r="J32" s="22" t="s">
        <v>1776</v>
      </c>
      <c r="K32" s="89" t="s">
        <v>1798</v>
      </c>
      <c r="L32" s="6" t="str">
        <f t="shared" si="2"/>
        <v>N820-Transit declaration "T"</v>
      </c>
      <c r="N32" s="148" t="s">
        <v>886</v>
      </c>
      <c r="O32" s="149" t="s">
        <v>2127</v>
      </c>
      <c r="P32" s="148" t="str">
        <f t="shared" si="3"/>
        <v>BQ-Bonaire, Sint Eustatius and Saba</v>
      </c>
      <c r="R32" s="13" t="s">
        <v>1778</v>
      </c>
      <c r="S32" s="13" t="s">
        <v>1800</v>
      </c>
      <c r="T32" s="12" t="str">
        <f t="shared" si="4"/>
        <v>N822-Internal Community transit declaration T2</v>
      </c>
      <c r="V32"/>
      <c r="AF32" s="22" t="s">
        <v>391</v>
      </c>
      <c r="AG32" s="22" t="s">
        <v>424</v>
      </c>
      <c r="AH32" s="6" t="str">
        <f t="shared" si="6"/>
        <v>04031-Invoice for transport, loading, unloading, reloading</v>
      </c>
      <c r="AV32" s="42" t="s">
        <v>1623</v>
      </c>
      <c r="AW32" s="40" t="s">
        <v>1662</v>
      </c>
      <c r="AX32" s="41" t="str">
        <f t="shared" si="10"/>
        <v>009-GREECE</v>
      </c>
      <c r="AZ32" s="75" t="s">
        <v>1916</v>
      </c>
      <c r="BA32" s="75" t="s">
        <v>1955</v>
      </c>
      <c r="BB32" s="83" t="str">
        <f t="shared" si="15"/>
        <v>KGMS-Kilogram of sugar with a yield in white sugar of 92%</v>
      </c>
      <c r="BH32" s="105" t="s">
        <v>2259</v>
      </c>
      <c r="BI32" s="105" t="s">
        <v>2260</v>
      </c>
      <c r="BJ32" s="102" t="str">
        <f t="shared" si="12"/>
        <v>Y934-Product not subjected to the provisions of Regulation (EU) No 258/2012 for export of firearms, their parts and components and ammunition</v>
      </c>
    </row>
    <row r="33" spans="2:62" ht="15" customHeight="1" x14ac:dyDescent="0.35">
      <c r="B33" s="78" t="s">
        <v>125</v>
      </c>
      <c r="C33" s="79" t="s">
        <v>29</v>
      </c>
      <c r="D33" s="72" t="str">
        <f t="shared" si="0"/>
        <v>AD-Receptacle, wooden</v>
      </c>
      <c r="F33" s="4" t="s">
        <v>328</v>
      </c>
      <c r="G33" s="4" t="s">
        <v>1379</v>
      </c>
      <c r="H33" s="4" t="str">
        <f t="shared" si="1"/>
        <v>DZD-Algerian Dinar</v>
      </c>
      <c r="J33" s="22" t="s">
        <v>1989</v>
      </c>
      <c r="K33" s="89" t="s">
        <v>402</v>
      </c>
      <c r="L33" s="6" t="str">
        <f t="shared" si="2"/>
        <v>N851-Phytosanitary certificate</v>
      </c>
      <c r="N33" s="9" t="s">
        <v>243</v>
      </c>
      <c r="O33" s="29" t="s">
        <v>304</v>
      </c>
      <c r="P33" s="147" t="str">
        <f t="shared" si="3"/>
        <v>BR-Brazil</v>
      </c>
      <c r="R33" s="13" t="s">
        <v>1779</v>
      </c>
      <c r="S33" s="13" t="s">
        <v>1801</v>
      </c>
      <c r="T33" s="12" t="str">
        <f t="shared" si="4"/>
        <v>N825-T2L document</v>
      </c>
      <c r="V33"/>
      <c r="AF33" s="22" t="s">
        <v>392</v>
      </c>
      <c r="AG33" s="22" t="s">
        <v>425</v>
      </c>
      <c r="AH33" s="6" t="str">
        <f t="shared" si="6"/>
        <v>04081-Invoice cost of packing materials</v>
      </c>
      <c r="AV33" s="42" t="s">
        <v>1624</v>
      </c>
      <c r="AW33" s="40" t="s">
        <v>1663</v>
      </c>
      <c r="AX33" s="41" t="str">
        <f t="shared" si="10"/>
        <v>010-PORTUGAL</v>
      </c>
      <c r="AZ33" s="75" t="s">
        <v>1917</v>
      </c>
      <c r="BA33" s="75" t="s">
        <v>1956</v>
      </c>
      <c r="BB33" s="83" t="str">
        <f t="shared" si="15"/>
        <v>KGMT-Kilogram of dry lactic matter</v>
      </c>
      <c r="BH33" s="105" t="s">
        <v>2261</v>
      </c>
      <c r="BI33" s="105" t="s">
        <v>2262</v>
      </c>
      <c r="BJ33" s="102" t="str">
        <f t="shared" si="12"/>
        <v>Y916-Product not subjected to the provisions of Regulation (EU) No 649/2012 on the export and import of dangerous chemicals, Annex I</v>
      </c>
    </row>
    <row r="34" spans="2:62" ht="15" customHeight="1" x14ac:dyDescent="0.35">
      <c r="B34" s="78" t="s">
        <v>220</v>
      </c>
      <c r="C34" s="79" t="s">
        <v>337</v>
      </c>
      <c r="D34" s="72" t="str">
        <f t="shared" ref="D34:D65" si="18">CONCATENATE(B34,"-",C34)</f>
        <v>AE-Aerosol</v>
      </c>
      <c r="F34" s="4" t="s">
        <v>327</v>
      </c>
      <c r="G34" s="4" t="s">
        <v>1380</v>
      </c>
      <c r="H34" s="4" t="str">
        <f t="shared" si="1"/>
        <v>DJF-Djibouti Franc</v>
      </c>
      <c r="J34" s="22" t="s">
        <v>1990</v>
      </c>
      <c r="K34" s="89" t="s">
        <v>2022</v>
      </c>
      <c r="L34" s="6" t="str">
        <f t="shared" si="2"/>
        <v>N864-Preference certificate of origin</v>
      </c>
      <c r="N34" s="9" t="s">
        <v>244</v>
      </c>
      <c r="O34" s="29" t="s">
        <v>305</v>
      </c>
      <c r="P34" s="147" t="str">
        <f t="shared" si="3"/>
        <v>BS-Bahamas</v>
      </c>
      <c r="R34" s="13" t="s">
        <v>1780</v>
      </c>
      <c r="S34" s="13" t="s">
        <v>1802</v>
      </c>
      <c r="T34" s="12" t="str">
        <f t="shared" ref="T34:T40" si="19">CONCATENATE(R34,"-",S34)</f>
        <v>N830-Goods declaration for exportation</v>
      </c>
      <c r="V34"/>
      <c r="AF34" s="22" t="s">
        <v>393</v>
      </c>
      <c r="AG34" s="22" t="s">
        <v>340</v>
      </c>
      <c r="AH34" s="6" t="str">
        <f t="shared" si="6"/>
        <v>04131-Packing list</v>
      </c>
      <c r="AV34" s="42" t="s">
        <v>1625</v>
      </c>
      <c r="AW34" s="40" t="s">
        <v>1664</v>
      </c>
      <c r="AX34" s="41" t="str">
        <f t="shared" si="10"/>
        <v>011-SPAIN</v>
      </c>
      <c r="AZ34" s="75" t="s">
        <v>1918</v>
      </c>
      <c r="BA34" s="75" t="s">
        <v>1957</v>
      </c>
      <c r="BB34" s="83" t="str">
        <f t="shared" si="15"/>
        <v>KLT-1000 litres</v>
      </c>
      <c r="BH34" s="105" t="s">
        <v>2263</v>
      </c>
      <c r="BI34" s="105" t="s">
        <v>2264</v>
      </c>
      <c r="BJ34" s="102" t="str">
        <f t="shared" si="12"/>
        <v>Y917-Product not subjected to the provisions of Regulation (EU) No 649/2012 on the export and import of dangerous chemicals, Annex V</v>
      </c>
    </row>
    <row r="35" spans="2:62" ht="15" customHeight="1" x14ac:dyDescent="0.35">
      <c r="B35" s="78" t="s">
        <v>126</v>
      </c>
      <c r="C35" s="79" t="s">
        <v>30</v>
      </c>
      <c r="D35" s="72" t="str">
        <f t="shared" si="18"/>
        <v>AF-Pallet, modular, collars 80 cm × 60 cm</v>
      </c>
      <c r="F35" s="4" t="s">
        <v>477</v>
      </c>
      <c r="G35" s="4" t="s">
        <v>1381</v>
      </c>
      <c r="H35" s="4" t="str">
        <f t="shared" si="1"/>
        <v>XAF-Chad, CFA Franc BEAC</v>
      </c>
      <c r="J35" s="22" t="s">
        <v>1759</v>
      </c>
      <c r="K35" s="89" t="s">
        <v>258</v>
      </c>
      <c r="L35" s="6" t="str">
        <f t="shared" si="2"/>
        <v>N325-Proforma Invoice</v>
      </c>
      <c r="N35" s="9" t="s">
        <v>245</v>
      </c>
      <c r="O35" s="29" t="s">
        <v>306</v>
      </c>
      <c r="P35" s="147" t="str">
        <f t="shared" si="3"/>
        <v>BT-Bhutan</v>
      </c>
      <c r="R35" s="13" t="s">
        <v>1781</v>
      </c>
      <c r="S35" s="13" t="s">
        <v>351</v>
      </c>
      <c r="T35" s="12" t="str">
        <f t="shared" si="19"/>
        <v>N952-TIR carnet</v>
      </c>
      <c r="V35"/>
      <c r="AF35" s="22" t="s">
        <v>394</v>
      </c>
      <c r="AG35" s="22" t="s">
        <v>426</v>
      </c>
      <c r="AH35" s="6" t="str">
        <f t="shared" si="6"/>
        <v>04999-Other documents and information</v>
      </c>
      <c r="AV35" s="42" t="s">
        <v>1626</v>
      </c>
      <c r="AW35" s="40" t="s">
        <v>1665</v>
      </c>
      <c r="AX35" s="41" t="str">
        <f t="shared" si="10"/>
        <v>017-BELGIUM</v>
      </c>
      <c r="AZ35" s="75" t="s">
        <v>1919</v>
      </c>
      <c r="BA35" s="75" t="s">
        <v>1958</v>
      </c>
      <c r="BB35" s="83" t="str">
        <f t="shared" si="15"/>
        <v>KMA-Kilogram of methylamines</v>
      </c>
      <c r="BH35" s="105" t="s">
        <v>2265</v>
      </c>
      <c r="BI35" s="105" t="s">
        <v>2266</v>
      </c>
      <c r="BJ35" s="102" t="str">
        <f t="shared" si="12"/>
        <v>Y062-Products which are not containing, consisting of or produced from rice (Commission Implementing Decision 2011/884/EU)</v>
      </c>
    </row>
    <row r="36" spans="2:62" ht="15" customHeight="1" x14ac:dyDescent="0.35">
      <c r="B36" s="78" t="s">
        <v>127</v>
      </c>
      <c r="C36" s="79" t="s">
        <v>31</v>
      </c>
      <c r="D36" s="72" t="str">
        <f t="shared" si="18"/>
        <v>AG-Pallet, shrink-wrapped</v>
      </c>
      <c r="F36" s="4" t="s">
        <v>210</v>
      </c>
      <c r="G36" s="4" t="s">
        <v>1382</v>
      </c>
      <c r="H36" s="4" t="str">
        <f t="shared" si="1"/>
        <v>CZK-Czech Koruna</v>
      </c>
      <c r="J36" s="22" t="s">
        <v>1779</v>
      </c>
      <c r="K36" s="89" t="s">
        <v>1801</v>
      </c>
      <c r="L36" s="6" t="str">
        <f t="shared" si="2"/>
        <v>N825-T2L document</v>
      </c>
      <c r="N36" s="9" t="s">
        <v>246</v>
      </c>
      <c r="O36" s="29" t="s">
        <v>307</v>
      </c>
      <c r="P36" s="147" t="str">
        <f t="shared" si="3"/>
        <v>BV-Bouvet Island</v>
      </c>
      <c r="R36" s="13" t="s">
        <v>1782</v>
      </c>
      <c r="S36" s="13" t="s">
        <v>352</v>
      </c>
      <c r="T36" s="12" t="str">
        <f t="shared" si="19"/>
        <v>N955-ATA carnet</v>
      </c>
      <c r="V36"/>
      <c r="AF36" s="22" t="s">
        <v>395</v>
      </c>
      <c r="AG36" s="22" t="s">
        <v>427</v>
      </c>
      <c r="AH36" s="6" t="str">
        <f t="shared" si="6"/>
        <v>06011-Certificate of origin CT+1</v>
      </c>
      <c r="AV36" s="42" t="s">
        <v>1627</v>
      </c>
      <c r="AW36" s="40" t="s">
        <v>1666</v>
      </c>
      <c r="AX36" s="41" t="str">
        <f t="shared" si="10"/>
        <v>018-LUXEMBURG</v>
      </c>
      <c r="AZ36" s="75" t="s">
        <v>1920</v>
      </c>
      <c r="BA36" s="75" t="s">
        <v>1959</v>
      </c>
      <c r="BB36" s="83" t="str">
        <f t="shared" si="15"/>
        <v>KMT-Kilometre</v>
      </c>
      <c r="BH36" s="105" t="s">
        <v>2267</v>
      </c>
      <c r="BI36" s="105" t="s">
        <v>2268</v>
      </c>
      <c r="BJ36" s="102" t="str">
        <f t="shared" si="12"/>
        <v>Y066-Products which are not containing or consisting of betel leaves (‘Piper betle’)</v>
      </c>
    </row>
    <row r="37" spans="2:62" ht="15" customHeight="1" x14ac:dyDescent="0.35">
      <c r="B37" s="78" t="s">
        <v>128</v>
      </c>
      <c r="C37" s="79" t="s">
        <v>32</v>
      </c>
      <c r="D37" s="72" t="str">
        <f t="shared" si="18"/>
        <v>AH-Pallet, 100 cm × 110 cm</v>
      </c>
      <c r="F37" s="4" t="s">
        <v>326</v>
      </c>
      <c r="G37" s="4" t="s">
        <v>1383</v>
      </c>
      <c r="H37" s="4" t="str">
        <f t="shared" si="1"/>
        <v>CNY-Chinese Yuan Renminbi</v>
      </c>
      <c r="J37" s="22" t="s">
        <v>1991</v>
      </c>
      <c r="K37" s="89" t="s">
        <v>2023</v>
      </c>
      <c r="L37" s="6" t="str">
        <f t="shared" si="2"/>
        <v>L079-Textile products: import certificate</v>
      </c>
      <c r="N37" s="9" t="s">
        <v>131</v>
      </c>
      <c r="O37" s="29" t="s">
        <v>308</v>
      </c>
      <c r="P37" s="147" t="str">
        <f t="shared" si="3"/>
        <v>BW-Botswana</v>
      </c>
      <c r="R37" s="13" t="s">
        <v>1783</v>
      </c>
      <c r="S37" s="13" t="s">
        <v>1803</v>
      </c>
      <c r="T37" s="12" t="str">
        <f t="shared" si="19"/>
        <v>NCLE-Reference/date of entry in the declarant's records</v>
      </c>
      <c r="V37"/>
      <c r="AF37" s="22" t="s">
        <v>396</v>
      </c>
      <c r="AG37" s="22" t="s">
        <v>428</v>
      </c>
      <c r="AH37" s="6" t="str">
        <f t="shared" si="6"/>
        <v>06013-Certificate of origin A form</v>
      </c>
      <c r="AV37" s="42" t="s">
        <v>1628</v>
      </c>
      <c r="AW37" s="40" t="s">
        <v>1667</v>
      </c>
      <c r="AX37" s="41" t="str">
        <f t="shared" si="10"/>
        <v>024-ICELAND</v>
      </c>
      <c r="AZ37" s="75" t="s">
        <v>1921</v>
      </c>
      <c r="BA37" s="75" t="s">
        <v>1960</v>
      </c>
      <c r="BB37" s="83" t="str">
        <f t="shared" si="15"/>
        <v>KNI-Kilogram of nitrogen</v>
      </c>
      <c r="BH37" s="105" t="s">
        <v>2269</v>
      </c>
      <c r="BI37" s="105" t="s">
        <v>2270</v>
      </c>
      <c r="BJ37" s="102" t="str">
        <f t="shared" si="12"/>
        <v>Y919-Reference Identification Number for chemicals subject to the provisions of Art. 2(3) of Regulation (EU) No 649/2012</v>
      </c>
    </row>
    <row r="38" spans="2:62" ht="15" customHeight="1" x14ac:dyDescent="0.35">
      <c r="B38" s="78" t="s">
        <v>129</v>
      </c>
      <c r="C38" s="79" t="s">
        <v>33</v>
      </c>
      <c r="D38" s="72" t="str">
        <f t="shared" si="18"/>
        <v>AI-Clamshell</v>
      </c>
      <c r="F38" s="4" t="s">
        <v>211</v>
      </c>
      <c r="G38" s="4" t="s">
        <v>1384</v>
      </c>
      <c r="H38" s="4" t="str">
        <f t="shared" si="1"/>
        <v>DKK-Danish Krone</v>
      </c>
      <c r="J38" s="22" t="s">
        <v>1992</v>
      </c>
      <c r="K38" s="89" t="s">
        <v>2024</v>
      </c>
      <c r="L38" s="6" t="str">
        <f t="shared" si="2"/>
        <v>N951-TIF form</v>
      </c>
      <c r="N38" s="9" t="s">
        <v>247</v>
      </c>
      <c r="O38" s="29" t="s">
        <v>309</v>
      </c>
      <c r="P38" s="147" t="str">
        <f t="shared" si="3"/>
        <v>BY-Belarusian</v>
      </c>
      <c r="R38" s="13" t="s">
        <v>1784</v>
      </c>
      <c r="S38" s="13" t="s">
        <v>1804</v>
      </c>
      <c r="T38" s="12" t="str">
        <f t="shared" si="19"/>
        <v>NMNS-Cargo manifest — simplified procedure</v>
      </c>
      <c r="V38"/>
      <c r="AF38" s="22" t="s">
        <v>397</v>
      </c>
      <c r="AG38" s="22" t="s">
        <v>429</v>
      </c>
      <c r="AH38" s="6" t="str">
        <f t="shared" si="6"/>
        <v>06014-Non preferential certificate of origin</v>
      </c>
      <c r="AV38" s="42" t="s">
        <v>1629</v>
      </c>
      <c r="AW38" s="40" t="s">
        <v>1668</v>
      </c>
      <c r="AX38" s="41" t="str">
        <f t="shared" si="10"/>
        <v>028-NORWAY</v>
      </c>
      <c r="AZ38" s="75" t="s">
        <v>1922</v>
      </c>
      <c r="BA38" s="75" t="s">
        <v>1961</v>
      </c>
      <c r="BB38" s="83" t="str">
        <f t="shared" si="15"/>
        <v>KNS-Kilogram of hydrogen peroxide</v>
      </c>
      <c r="BH38" s="105" t="s">
        <v>2271</v>
      </c>
      <c r="BI38" s="105" t="s">
        <v>2272</v>
      </c>
      <c r="BJ38" s="102" t="str">
        <f t="shared" si="12"/>
        <v>Y025-Representative (AEO certificate number)</v>
      </c>
    </row>
    <row r="39" spans="2:62" ht="19.25" customHeight="1" x14ac:dyDescent="0.35">
      <c r="B39" s="78" t="s">
        <v>1866</v>
      </c>
      <c r="C39" s="79" t="s">
        <v>1867</v>
      </c>
      <c r="D39" s="72" t="str">
        <f t="shared" si="18"/>
        <v>AJ-Cone</v>
      </c>
      <c r="F39" s="4" t="s">
        <v>2070</v>
      </c>
      <c r="G39" s="4" t="s">
        <v>2071</v>
      </c>
      <c r="H39" s="4" t="str">
        <f t="shared" si="1"/>
        <v>DOP-Dominican Peso</v>
      </c>
      <c r="J39" s="22" t="s">
        <v>1993</v>
      </c>
      <c r="K39" s="89" t="s">
        <v>2031</v>
      </c>
      <c r="L39" s="6" t="str">
        <f t="shared" si="2"/>
        <v>Y125-Undertaking importing less than 100 tonnes of CO2 equivalent of hydrofluorocarbons per year and exempted from the reduction of the quantity of hydrofluorocarbons placed on the EU market according to article 15.2 first sub paragraph of Regulation (EU) No 517/2014</v>
      </c>
      <c r="N39" s="9" t="s">
        <v>248</v>
      </c>
      <c r="O39" s="29" t="s">
        <v>310</v>
      </c>
      <c r="P39" s="147" t="str">
        <f t="shared" si="3"/>
        <v>BZ-Belize</v>
      </c>
      <c r="R39" s="13" t="s">
        <v>1785</v>
      </c>
      <c r="S39" s="13" t="s">
        <v>1805</v>
      </c>
      <c r="T39" s="12" t="str">
        <f t="shared" si="19"/>
        <v>NMRN-Declaration / notification MRN</v>
      </c>
      <c r="AF39" s="22" t="s">
        <v>398</v>
      </c>
      <c r="AG39" s="22" t="s">
        <v>430</v>
      </c>
      <c r="AH39" s="6" t="str">
        <f t="shared" si="6"/>
        <v>10999-Other information</v>
      </c>
      <c r="AV39" s="42" t="s">
        <v>1630</v>
      </c>
      <c r="AW39" s="40" t="s">
        <v>1669</v>
      </c>
      <c r="AX39" s="41" t="str">
        <f t="shared" si="10"/>
        <v>063-SLOVAKIA</v>
      </c>
      <c r="AZ39" s="75" t="s">
        <v>1923</v>
      </c>
      <c r="BA39" s="75" t="s">
        <v>1962</v>
      </c>
      <c r="BB39" s="83" t="str">
        <f t="shared" si="15"/>
        <v>KPH-Kilogram of potassium hydroxide (caustic potash)</v>
      </c>
      <c r="BH39" s="105" t="s">
        <v>2273</v>
      </c>
      <c r="BI39" s="105" t="s">
        <v>2274</v>
      </c>
      <c r="BJ39" s="102" t="str">
        <f t="shared" si="12"/>
        <v>Y100-Special entries on the import licence AGRIM</v>
      </c>
    </row>
    <row r="40" spans="2:62" ht="23.4" customHeight="1" x14ac:dyDescent="0.35">
      <c r="B40" s="78" t="s">
        <v>221</v>
      </c>
      <c r="C40" s="79" t="s">
        <v>880</v>
      </c>
      <c r="D40" s="72" t="str">
        <f t="shared" si="18"/>
        <v>AL-Paleta modular, anillos de 80 x 60 cm</v>
      </c>
      <c r="F40" s="4" t="s">
        <v>1283</v>
      </c>
      <c r="G40" s="4" t="s">
        <v>1353</v>
      </c>
      <c r="H40" s="4" t="str">
        <f t="shared" si="1"/>
        <v>XCD-East Carribbean Dollar</v>
      </c>
      <c r="J40" s="22" t="s">
        <v>1994</v>
      </c>
      <c r="K40" s="89" t="s">
        <v>2031</v>
      </c>
      <c r="L40" s="6" t="str">
        <f t="shared" si="2"/>
        <v>Y120-Undertaking importing less than 100 tonnes of CO2 equivalent of hydrofluorocarbons per year and exempted from the reduction of the quantity of hydrofluorocarbons placed on the EU market according to article 15.2 first sub paragraph of Regulation (EU) No 517/2014</v>
      </c>
      <c r="N40" s="9" t="s">
        <v>249</v>
      </c>
      <c r="O40" s="29" t="s">
        <v>2099</v>
      </c>
      <c r="P40" s="147" t="str">
        <f t="shared" si="3"/>
        <v>CA-Canada</v>
      </c>
      <c r="Q40" s="178"/>
      <c r="R40" s="179" t="s">
        <v>2176</v>
      </c>
      <c r="S40" s="181" t="s">
        <v>2177</v>
      </c>
      <c r="T40" s="180" t="str">
        <f t="shared" si="19"/>
        <v>C552-T2LSM - Proof establishing the status of goods destined for San Marino in application of Article 2 of Decision 4/92 of the EEC-San Marino Cooperation Committee of 22 December 1992</v>
      </c>
      <c r="AF40" s="22" t="s">
        <v>399</v>
      </c>
      <c r="AG40" s="22" t="s">
        <v>431</v>
      </c>
      <c r="AH40" s="6" t="str">
        <f t="shared" si="6"/>
        <v>11001-Identity document</v>
      </c>
      <c r="AV40" s="42" t="s">
        <v>1631</v>
      </c>
      <c r="AW40" s="40" t="s">
        <v>1670</v>
      </c>
      <c r="AX40" s="41" t="str">
        <f t="shared" si="10"/>
        <v>064-HUNGARY</v>
      </c>
      <c r="AZ40" s="75" t="s">
        <v>1924</v>
      </c>
      <c r="BA40" s="75" t="s">
        <v>1963</v>
      </c>
      <c r="BB40" s="83" t="str">
        <f t="shared" si="15"/>
        <v>KPO-Kilogram of potassium oxide</v>
      </c>
      <c r="BH40" s="105" t="s">
        <v>2275</v>
      </c>
      <c r="BI40" s="105" t="s">
        <v>2276</v>
      </c>
      <c r="BJ40" s="102" t="str">
        <f t="shared" si="12"/>
        <v>Y930-The declared goods are not concerned by Commission Decision 2007/275/EC and Commission Implementing Regulation (EU) 2019/2007</v>
      </c>
    </row>
    <row r="41" spans="2:62" ht="18.649999999999999" customHeight="1" x14ac:dyDescent="0.35">
      <c r="B41" s="78" t="s">
        <v>222</v>
      </c>
      <c r="C41" s="79" t="s">
        <v>1868</v>
      </c>
      <c r="D41" s="72" t="str">
        <f t="shared" si="18"/>
        <v>AM-Ampoule, non-protected</v>
      </c>
      <c r="F41" s="4" t="s">
        <v>477</v>
      </c>
      <c r="G41" s="4" t="s">
        <v>2072</v>
      </c>
      <c r="H41" s="4" t="str">
        <f t="shared" si="1"/>
        <v>XAF-Equatorial Guinea, CFA Franc BEAC</v>
      </c>
      <c r="J41" s="22" t="s">
        <v>1995</v>
      </c>
      <c r="K41" s="89" t="s">
        <v>2025</v>
      </c>
      <c r="L41" s="6" t="str">
        <f t="shared" si="2"/>
        <v>Y124-Undertaking importing smaller amount of fluorinated greenhouse gases per year than that specified in Article 19.1 for bulk imports and 19.4 for products and equipment imports, and therefore not covered by the registration requirement according to Art. 19.1 and 19.4 of Regulation (EU) No 517/2014, and Article 1.2 of Commission Implementing...</v>
      </c>
      <c r="N41" s="9" t="s">
        <v>250</v>
      </c>
      <c r="O41" s="29" t="s">
        <v>2100</v>
      </c>
      <c r="P41" s="147" t="str">
        <f t="shared" si="3"/>
        <v>CC-Cocos (Keeling) Is</v>
      </c>
      <c r="T41" s="182"/>
      <c r="AF41" s="22"/>
      <c r="AG41" s="22"/>
      <c r="AH41" s="6"/>
      <c r="AV41" s="42"/>
      <c r="AW41" s="40"/>
      <c r="AX41" s="41"/>
      <c r="AZ41" s="75"/>
      <c r="BA41" s="75"/>
      <c r="BB41" s="83"/>
      <c r="BH41" s="105" t="s">
        <v>2277</v>
      </c>
      <c r="BI41" s="105" t="s">
        <v>2278</v>
      </c>
      <c r="BJ41" s="102" t="str">
        <f t="shared" si="12"/>
        <v>Y942-The declared goods are not concerned by Commission Implementing Regulation (EU) 2016/1141</v>
      </c>
    </row>
    <row r="42" spans="2:62" ht="20.399999999999999" customHeight="1" x14ac:dyDescent="0.35">
      <c r="B42" s="78" t="s">
        <v>1869</v>
      </c>
      <c r="C42" s="79" t="s">
        <v>1870</v>
      </c>
      <c r="D42" s="72" t="str">
        <f t="shared" si="18"/>
        <v>AP-Ampoule, protected</v>
      </c>
      <c r="F42" s="4" t="s">
        <v>2073</v>
      </c>
      <c r="G42" s="4" t="s">
        <v>2074</v>
      </c>
      <c r="H42" s="4" t="str">
        <f t="shared" si="1"/>
        <v>SVC-El Salvador Colon</v>
      </c>
      <c r="J42" s="22" t="s">
        <v>1996</v>
      </c>
      <c r="K42" s="89" t="s">
        <v>2026</v>
      </c>
      <c r="L42" s="6" t="str">
        <f t="shared" si="2"/>
        <v>Y123-Undertaking registered according to Art. 19 of Regulation (EU) No 517/2014, and Article 1.2 of Commission Implementing Regulation (EU) 1191/2014 as amended by Commission Implementing Regulation (EU) 2017/1375</v>
      </c>
      <c r="N42" s="9" t="s">
        <v>132</v>
      </c>
      <c r="O42" s="29" t="s">
        <v>2101</v>
      </c>
      <c r="P42" s="147" t="str">
        <f t="shared" si="3"/>
        <v>CD-Congo Dem Rep</v>
      </c>
      <c r="AF42" s="22"/>
      <c r="AG42" s="22"/>
      <c r="AH42" s="6"/>
      <c r="AV42" s="42"/>
      <c r="AW42" s="40"/>
      <c r="AX42" s="41"/>
      <c r="AZ42" s="75"/>
      <c r="BA42" s="75"/>
      <c r="BB42" s="83"/>
      <c r="BH42" s="105" t="s">
        <v>2279</v>
      </c>
      <c r="BI42" s="105" t="s">
        <v>2280</v>
      </c>
      <c r="BJ42" s="102" t="str">
        <f t="shared" si="12"/>
        <v>Y928-The declared goods are not concerned by Commission Implementing Regulation (EU) 2019/1787</v>
      </c>
    </row>
    <row r="43" spans="2:62" ht="26" x14ac:dyDescent="0.35">
      <c r="B43" s="78" t="s">
        <v>228</v>
      </c>
      <c r="C43" s="79" t="s">
        <v>1871</v>
      </c>
      <c r="D43" s="72" t="str">
        <f t="shared" si="18"/>
        <v>AT-Atomizer</v>
      </c>
      <c r="F43" s="4" t="s">
        <v>2075</v>
      </c>
      <c r="G43" s="4" t="s">
        <v>2076</v>
      </c>
      <c r="H43" s="4" t="str">
        <f t="shared" si="1"/>
        <v>IDR-Rupiah</v>
      </c>
      <c r="J43" s="22" t="s">
        <v>1997</v>
      </c>
      <c r="K43" s="183" t="s">
        <v>2027</v>
      </c>
      <c r="L43" s="6" t="str">
        <f t="shared" si="2"/>
        <v>N861-Universal certificate of origin</v>
      </c>
      <c r="N43" s="9" t="s">
        <v>251</v>
      </c>
      <c r="O43" s="29" t="s">
        <v>2102</v>
      </c>
      <c r="P43" s="147" t="str">
        <f t="shared" si="3"/>
        <v>CF-Central African Rep</v>
      </c>
      <c r="AF43" s="22"/>
      <c r="AG43" s="22"/>
      <c r="AH43" s="6"/>
      <c r="AV43" s="42"/>
      <c r="AW43" s="40"/>
      <c r="AX43" s="41"/>
      <c r="AZ43" s="75"/>
      <c r="BA43" s="75"/>
      <c r="BB43" s="83"/>
      <c r="BH43" s="105" t="s">
        <v>2281</v>
      </c>
      <c r="BI43" s="105" t="s">
        <v>2282</v>
      </c>
      <c r="BJ43" s="102" t="str">
        <f t="shared" si="12"/>
        <v>Y937-The declared goods are not concerned by Commission Implementing Regulation (EU) 2019/1793</v>
      </c>
    </row>
    <row r="44" spans="2:62" ht="58" x14ac:dyDescent="0.35">
      <c r="B44" s="78" t="s">
        <v>1872</v>
      </c>
      <c r="C44" s="79" t="s">
        <v>1873</v>
      </c>
      <c r="D44" s="72" t="str">
        <f t="shared" si="18"/>
        <v>AV-Capsule</v>
      </c>
      <c r="F44" s="4" t="s">
        <v>2077</v>
      </c>
      <c r="G44" s="4" t="s">
        <v>2078</v>
      </c>
      <c r="H44" s="4" t="str">
        <f t="shared" si="1"/>
        <v xml:space="preserve">ERN-Nakfa </v>
      </c>
      <c r="J44" s="184" t="s">
        <v>2178</v>
      </c>
      <c r="K44" s="185" t="s">
        <v>2179</v>
      </c>
      <c r="L44" s="6" t="str">
        <f t="shared" si="2"/>
        <v>C121-Certificate certifying that the diamonds are not mined, processed or produced in Russia (Article 3p paragraph 10 of Council Regulation (EU) No 833/2014)</v>
      </c>
      <c r="N44" s="9" t="s">
        <v>252</v>
      </c>
      <c r="O44" s="29" t="s">
        <v>2103</v>
      </c>
      <c r="P44" s="147" t="str">
        <f t="shared" si="3"/>
        <v>CG-Congo</v>
      </c>
      <c r="AF44" s="22"/>
      <c r="AG44" s="22"/>
      <c r="AH44" s="6"/>
      <c r="AV44" s="42"/>
      <c r="AW44" s="40"/>
      <c r="AX44" s="41"/>
      <c r="AZ44" s="75"/>
      <c r="BA44" s="75"/>
      <c r="BB44" s="83"/>
      <c r="BH44" s="105" t="s">
        <v>2283</v>
      </c>
      <c r="BI44" s="105" t="s">
        <v>2284</v>
      </c>
      <c r="BJ44" s="102" t="str">
        <f t="shared" si="12"/>
        <v>Y940-The declared goods are not concerned by Commission Implementing Regulation (EU) No 175/2015</v>
      </c>
    </row>
    <row r="45" spans="2:62" ht="29" x14ac:dyDescent="0.35">
      <c r="B45" s="78" t="s">
        <v>881</v>
      </c>
      <c r="C45" s="79" t="s">
        <v>882</v>
      </c>
      <c r="D45" s="72" t="str">
        <f t="shared" si="18"/>
        <v>B4-Correa</v>
      </c>
      <c r="F45" s="4" t="s">
        <v>2079</v>
      </c>
      <c r="G45" s="4" t="s">
        <v>2080</v>
      </c>
      <c r="H45" s="4" t="str">
        <f t="shared" si="1"/>
        <v>AMD-Armenian Dram</v>
      </c>
      <c r="J45" s="184" t="s">
        <v>2180</v>
      </c>
      <c r="K45" s="185" t="s">
        <v>2181</v>
      </c>
      <c r="L45" s="6" t="str">
        <f t="shared" si="2"/>
        <v>C400-Presentation of the required "CITES" certificate</v>
      </c>
      <c r="N45" s="9" t="s">
        <v>2</v>
      </c>
      <c r="O45" s="29" t="s">
        <v>2104</v>
      </c>
      <c r="P45" s="147" t="str">
        <f t="shared" si="3"/>
        <v>CH-Swiss</v>
      </c>
      <c r="AF45" s="22"/>
      <c r="AG45" s="22"/>
      <c r="AH45" s="6"/>
      <c r="AV45" s="42"/>
      <c r="AW45" s="40"/>
      <c r="AX45" s="41"/>
      <c r="AZ45" s="75"/>
      <c r="BA45" s="75"/>
      <c r="BB45" s="83"/>
      <c r="BH45" s="105" t="s">
        <v>2285</v>
      </c>
      <c r="BI45" s="105" t="s">
        <v>2286</v>
      </c>
      <c r="BJ45" s="102" t="str">
        <f t="shared" si="12"/>
        <v>Y927-The declared goods are not concerned by Council Regulation (EC) No. 1005/2008</v>
      </c>
    </row>
    <row r="46" spans="2:62" ht="29" x14ac:dyDescent="0.35">
      <c r="B46" s="78" t="s">
        <v>233</v>
      </c>
      <c r="C46" s="79" t="s">
        <v>1874</v>
      </c>
      <c r="D46" s="72" t="str">
        <f t="shared" si="18"/>
        <v>BA-Barrel</v>
      </c>
      <c r="F46" s="4" t="s">
        <v>2081</v>
      </c>
      <c r="G46" s="4" t="s">
        <v>2082</v>
      </c>
      <c r="H46" s="4" t="str">
        <f t="shared" si="1"/>
        <v>ETB-Ethiopian Birr</v>
      </c>
      <c r="J46" s="184" t="s">
        <v>2182</v>
      </c>
      <c r="K46" s="185" t="s">
        <v>2183</v>
      </c>
      <c r="L46" s="6" t="str">
        <f t="shared" si="2"/>
        <v>C402-CITES Export permit or Re-export certificate issued by a third country</v>
      </c>
      <c r="N46" s="9" t="s">
        <v>253</v>
      </c>
      <c r="O46" s="29" t="s">
        <v>2105</v>
      </c>
      <c r="P46" s="147" t="str">
        <f t="shared" si="3"/>
        <v>CI-Côte d'Ivoire</v>
      </c>
      <c r="AF46" s="22"/>
      <c r="AG46" s="22"/>
      <c r="AH46" s="6"/>
      <c r="AV46" s="42"/>
      <c r="AW46" s="40"/>
      <c r="AX46" s="41"/>
      <c r="AZ46" s="75"/>
      <c r="BA46" s="75"/>
      <c r="BB46" s="83"/>
      <c r="BH46" s="105" t="s">
        <v>2287</v>
      </c>
      <c r="BI46" s="105" t="s">
        <v>2288</v>
      </c>
      <c r="BJ46" s="102" t="str">
        <f t="shared" si="12"/>
        <v>Y909-The declared goods are not concerned by Regulation (EC) No. 1984/2003 (and/or Reg. (EU) No. 640/2010).</v>
      </c>
    </row>
    <row r="47" spans="2:62" ht="18.649999999999999" customHeight="1" x14ac:dyDescent="0.35">
      <c r="B47" s="78" t="s">
        <v>234</v>
      </c>
      <c r="C47" s="79" t="s">
        <v>1875</v>
      </c>
      <c r="D47" s="72" t="str">
        <f t="shared" si="18"/>
        <v>BB-Bobbin</v>
      </c>
      <c r="F47" s="4" t="s">
        <v>1902</v>
      </c>
      <c r="G47" s="4" t="s">
        <v>2083</v>
      </c>
      <c r="H47" s="4" t="str">
        <f t="shared" si="1"/>
        <v>EUR-Euro</v>
      </c>
      <c r="J47" s="184" t="s">
        <v>2184</v>
      </c>
      <c r="K47" s="185" t="s">
        <v>2185</v>
      </c>
      <c r="L47" s="6" t="str">
        <f t="shared" si="2"/>
        <v>C638-CITES Import permit</v>
      </c>
      <c r="N47" s="9" t="s">
        <v>254</v>
      </c>
      <c r="O47" s="29" t="s">
        <v>2106</v>
      </c>
      <c r="P47" s="147" t="str">
        <f t="shared" si="3"/>
        <v>CK-Cook Is</v>
      </c>
      <c r="AF47" s="22"/>
      <c r="AG47" s="22"/>
      <c r="AH47" s="6"/>
      <c r="AV47" s="42"/>
      <c r="AW47" s="40"/>
      <c r="AX47" s="41"/>
      <c r="AZ47" s="75"/>
      <c r="BA47" s="75"/>
      <c r="BB47" s="83"/>
      <c r="BH47" s="105" t="s">
        <v>2289</v>
      </c>
      <c r="BI47" s="105" t="s">
        <v>2290</v>
      </c>
      <c r="BJ47" s="102" t="str">
        <f t="shared" si="12"/>
        <v>Y015-The rough diamonds are contained in tamper-resistant containers, and the seals applied at export by the participant (Kimberley process) are not broken</v>
      </c>
    </row>
    <row r="48" spans="2:62" ht="20.399999999999999" customHeight="1" x14ac:dyDescent="0.35">
      <c r="B48" s="78" t="s">
        <v>1876</v>
      </c>
      <c r="C48" s="79" t="s">
        <v>1877</v>
      </c>
      <c r="D48" s="72" t="str">
        <f t="shared" si="18"/>
        <v>BC-Bottle crate, bottle rack</v>
      </c>
      <c r="F48" s="4" t="s">
        <v>2084</v>
      </c>
      <c r="G48" s="4" t="s">
        <v>2085</v>
      </c>
      <c r="H48" s="4" t="str">
        <f t="shared" si="1"/>
        <v>FKP-Falkland Islands Pound</v>
      </c>
      <c r="J48" s="184" t="s">
        <v>2186</v>
      </c>
      <c r="K48" s="185" t="s">
        <v>2187</v>
      </c>
      <c r="L48" s="6" t="str">
        <f t="shared" si="2"/>
        <v>C646-Notification of Arrival (NOA) of certain goods entering the Union and to which Articles 47 and 48 of Regulation (EU) 2017/625 do not apply (Commission Delegated Regulation (EU) 2024/2104)</v>
      </c>
      <c r="N48" s="9" t="s">
        <v>255</v>
      </c>
      <c r="O48" s="29" t="s">
        <v>2107</v>
      </c>
      <c r="P48" s="147" t="str">
        <f t="shared" si="3"/>
        <v>CL-Chile</v>
      </c>
      <c r="AF48" s="22"/>
      <c r="AG48" s="22"/>
      <c r="AH48" s="6"/>
      <c r="AV48" s="42"/>
      <c r="AW48" s="40"/>
      <c r="AX48" s="41"/>
      <c r="AZ48" s="75"/>
      <c r="BA48" s="75"/>
      <c r="BB48" s="83"/>
      <c r="BH48" s="105" t="s">
        <v>2291</v>
      </c>
      <c r="BI48" s="105" t="s">
        <v>2292</v>
      </c>
      <c r="BJ48" s="102" t="str">
        <f t="shared" si="12"/>
        <v>Y031-This certificate code may be used to indicate that shipments are coming from or going to an Authorised Economic Operator (AEO) in a third country with which the European Union (EU) has concluded a mutual recognition agreement regarding AEO programmes. In addition to the certificate code (Y031) the identification code of this third country AEO must</v>
      </c>
    </row>
    <row r="49" spans="2:62" ht="17.399999999999999" customHeight="1" x14ac:dyDescent="0.35">
      <c r="B49" s="78" t="s">
        <v>235</v>
      </c>
      <c r="C49" s="79" t="s">
        <v>1878</v>
      </c>
      <c r="D49" s="72" t="str">
        <f t="shared" si="18"/>
        <v>BD-Board</v>
      </c>
      <c r="F49" s="4" t="s">
        <v>2086</v>
      </c>
      <c r="G49" s="4" t="s">
        <v>2087</v>
      </c>
      <c r="H49" s="4" t="str">
        <f t="shared" si="1"/>
        <v>MAD-Moroccan Dirham</v>
      </c>
      <c r="J49" s="184" t="s">
        <v>2188</v>
      </c>
      <c r="K49" s="185" t="s">
        <v>2189</v>
      </c>
      <c r="L49" s="6" t="str">
        <f t="shared" si="2"/>
        <v>C656-Dissostichus - Catch document export</v>
      </c>
      <c r="N49" s="9" t="s">
        <v>133</v>
      </c>
      <c r="O49" s="29" t="s">
        <v>2108</v>
      </c>
      <c r="P49" s="147" t="str">
        <f t="shared" si="3"/>
        <v>CM-Cameroon</v>
      </c>
      <c r="AF49" s="22"/>
      <c r="AG49" s="22"/>
      <c r="AH49" s="6"/>
      <c r="AV49" s="42"/>
      <c r="AW49" s="40"/>
      <c r="AX49" s="41"/>
      <c r="AZ49" s="75"/>
      <c r="BA49" s="75"/>
      <c r="BB49" s="83"/>
      <c r="BH49" s="105" t="s">
        <v>2293</v>
      </c>
      <c r="BI49" s="105" t="s">
        <v>2294</v>
      </c>
      <c r="BJ49" s="102" t="str">
        <f t="shared" si="12"/>
        <v>Y064-Timber and timber products originating in or dispatched from a country partner in a FLEGT Voluntary Partnership Agreement (VPA) exported prior to the entry into force of the VPA</v>
      </c>
    </row>
    <row r="50" spans="2:62" ht="58" x14ac:dyDescent="0.35">
      <c r="B50" s="78" t="s">
        <v>0</v>
      </c>
      <c r="C50" s="79" t="s">
        <v>1879</v>
      </c>
      <c r="D50" s="72" t="str">
        <f t="shared" si="18"/>
        <v>BE-Bundle</v>
      </c>
      <c r="F50" s="4" t="s">
        <v>2088</v>
      </c>
      <c r="G50" s="4" t="s">
        <v>2089</v>
      </c>
      <c r="H50" s="4" t="str">
        <f t="shared" si="1"/>
        <v>FJD-Fiji Dollar</v>
      </c>
      <c r="J50" s="184" t="s">
        <v>2190</v>
      </c>
      <c r="K50" s="185" t="s">
        <v>2191</v>
      </c>
      <c r="L50" s="6" t="str">
        <f t="shared" si="2"/>
        <v>C716-Due diligence statement, presented for imports/exports in accordance with Article 3 of (Regulation (EU) 2023/1115 on deforestation and forest degradation)</v>
      </c>
      <c r="N50" s="9" t="s">
        <v>134</v>
      </c>
      <c r="O50" s="29" t="s">
        <v>2109</v>
      </c>
      <c r="P50" s="147" t="str">
        <f t="shared" si="3"/>
        <v>CN-China</v>
      </c>
      <c r="AF50" s="22"/>
      <c r="AG50" s="22"/>
      <c r="AH50" s="6"/>
      <c r="AV50" s="42"/>
      <c r="AW50" s="40"/>
      <c r="AX50" s="41"/>
      <c r="AZ50" s="75"/>
      <c r="BA50" s="75"/>
      <c r="BB50" s="83"/>
      <c r="BH50" s="152" t="s">
        <v>2295</v>
      </c>
      <c r="BI50" s="152" t="s">
        <v>2296</v>
      </c>
      <c r="BJ50" s="102" t="str">
        <f t="shared" si="12"/>
        <v>Y027-Warehousekeeper (AEO certificate number)</v>
      </c>
    </row>
    <row r="51" spans="2:62" ht="16.25" customHeight="1" x14ac:dyDescent="0.35">
      <c r="B51" s="70" t="s">
        <v>236</v>
      </c>
      <c r="C51" s="70" t="s">
        <v>1880</v>
      </c>
      <c r="D51" s="72" t="str">
        <f t="shared" si="18"/>
        <v>BF-Balloon, non-protected</v>
      </c>
      <c r="F51" s="4" t="s">
        <v>478</v>
      </c>
      <c r="G51" s="4" t="s">
        <v>2090</v>
      </c>
      <c r="H51" s="4" t="str">
        <f t="shared" si="1"/>
        <v>XOF-Cote D'Ivoire, CFA Franc BCEAO</v>
      </c>
      <c r="J51" s="184" t="s">
        <v>2192</v>
      </c>
      <c r="K51" s="185" t="s">
        <v>2193</v>
      </c>
      <c r="L51" s="6" t="str">
        <f t="shared" si="2"/>
        <v>C717-Reference number of due diligence statement previously submitted, in accordance with Article 4.8 of Regulation (EU) 2023/1115</v>
      </c>
      <c r="N51" s="9" t="s">
        <v>256</v>
      </c>
      <c r="O51" s="29" t="s">
        <v>2110</v>
      </c>
      <c r="P51" s="147" t="str">
        <f t="shared" si="3"/>
        <v>CO-Colombia</v>
      </c>
      <c r="AF51" s="22"/>
      <c r="AG51" s="22"/>
      <c r="AH51" s="6"/>
      <c r="AV51" s="42"/>
      <c r="AW51" s="40"/>
      <c r="AX51" s="41"/>
      <c r="AZ51" s="75"/>
      <c r="BA51" s="75"/>
      <c r="BB51" s="83"/>
      <c r="BH51" s="105" t="s">
        <v>2297</v>
      </c>
      <c r="BI51" s="105" t="s">
        <v>2298</v>
      </c>
      <c r="BJ51" s="102" t="str">
        <f t="shared" si="12"/>
        <v>Y121-Tonnes of CO₂ equivalent of bulk gases and of gases contained in products or equipment, and parts thereof</v>
      </c>
    </row>
    <row r="52" spans="2:62" ht="26" x14ac:dyDescent="0.35">
      <c r="B52" s="70" t="s">
        <v>237</v>
      </c>
      <c r="C52" s="70" t="s">
        <v>1881</v>
      </c>
      <c r="D52" s="72" t="str">
        <f t="shared" si="18"/>
        <v>BG-Bag</v>
      </c>
      <c r="F52" s="4" t="s">
        <v>2091</v>
      </c>
      <c r="G52" s="4" t="s">
        <v>2092</v>
      </c>
      <c r="H52" s="4" t="str">
        <f t="shared" si="1"/>
        <v>PHP-Philippine Peso</v>
      </c>
      <c r="J52" s="184" t="s">
        <v>1756</v>
      </c>
      <c r="K52" s="185" t="s">
        <v>339</v>
      </c>
      <c r="L52" s="6" t="str">
        <f t="shared" si="2"/>
        <v>N235-Container list</v>
      </c>
      <c r="N52" s="9" t="s">
        <v>482</v>
      </c>
      <c r="O52" s="29" t="s">
        <v>2111</v>
      </c>
      <c r="P52" s="147" t="str">
        <f t="shared" si="3"/>
        <v>CR-Costa Rica</v>
      </c>
      <c r="AF52" s="22"/>
      <c r="AG52" s="22"/>
      <c r="AH52" s="6"/>
      <c r="AV52" s="42"/>
      <c r="AW52" s="40"/>
      <c r="AX52" s="41"/>
      <c r="AZ52" s="75"/>
      <c r="BA52" s="75"/>
      <c r="BB52" s="83"/>
      <c r="BH52" s="105" t="s">
        <v>1996</v>
      </c>
      <c r="BI52" s="105" t="s">
        <v>2299</v>
      </c>
      <c r="BJ52" s="102" t="str">
        <f t="shared" si="12"/>
        <v>Y123-Undertaking registered in the F-Gas Portal according to Article 20 of Regulation (EU) 2024/573</v>
      </c>
    </row>
    <row r="53" spans="2:62" ht="26" x14ac:dyDescent="0.35">
      <c r="B53" s="70" t="s">
        <v>238</v>
      </c>
      <c r="C53" s="70" t="s">
        <v>1882</v>
      </c>
      <c r="D53" s="72" t="str">
        <f t="shared" si="18"/>
        <v>BH-Bunch</v>
      </c>
      <c r="F53" s="4" t="s">
        <v>479</v>
      </c>
      <c r="G53" s="4" t="s">
        <v>2093</v>
      </c>
      <c r="H53" s="4" t="str">
        <f t="shared" si="1"/>
        <v>XPF-CFP Franc</v>
      </c>
      <c r="J53" s="184" t="s">
        <v>1758</v>
      </c>
      <c r="K53" s="185" t="s">
        <v>340</v>
      </c>
      <c r="L53" s="6" t="str">
        <f t="shared" si="2"/>
        <v>N271-Packing list</v>
      </c>
      <c r="N53" s="9" t="s">
        <v>483</v>
      </c>
      <c r="O53" s="29" t="s">
        <v>2112</v>
      </c>
      <c r="P53" s="147" t="str">
        <f t="shared" si="3"/>
        <v>CU-Cuba</v>
      </c>
      <c r="AF53" s="22"/>
      <c r="AG53" s="22"/>
      <c r="AH53" s="6"/>
      <c r="AV53" s="42"/>
      <c r="AW53" s="40"/>
      <c r="AX53" s="41"/>
      <c r="AZ53" s="75"/>
      <c r="BA53" s="75"/>
      <c r="BB53" s="83"/>
      <c r="BH53" s="152" t="s">
        <v>2300</v>
      </c>
      <c r="BI53" s="152" t="s">
        <v>2301</v>
      </c>
      <c r="BJ53" s="102" t="str">
        <f t="shared" si="12"/>
        <v>Y163-Net mass of fluorinated greenhouse gases charged in products and equipment</v>
      </c>
    </row>
    <row r="54" spans="2:62" ht="38.5" x14ac:dyDescent="0.35">
      <c r="B54" s="70" t="s">
        <v>1</v>
      </c>
      <c r="C54" s="70" t="s">
        <v>1883</v>
      </c>
      <c r="D54" s="72" t="str">
        <f t="shared" si="18"/>
        <v>BI-Bin</v>
      </c>
      <c r="F54" s="4" t="s">
        <v>477</v>
      </c>
      <c r="G54" s="4" t="s">
        <v>2094</v>
      </c>
      <c r="H54" s="4" t="str">
        <f t="shared" si="1"/>
        <v>XAF-Gabon, CFA Franc BEAC</v>
      </c>
      <c r="J54" s="184" t="s">
        <v>1774</v>
      </c>
      <c r="K54" s="185" t="s">
        <v>350</v>
      </c>
      <c r="L54" s="6" t="str">
        <f t="shared" si="2"/>
        <v>N785-Cargo manifest</v>
      </c>
      <c r="N54" s="9" t="s">
        <v>484</v>
      </c>
      <c r="O54" s="29" t="s">
        <v>2113</v>
      </c>
      <c r="P54" s="147" t="str">
        <f t="shared" si="3"/>
        <v>CV-Cape Verde</v>
      </c>
      <c r="AF54" s="22"/>
      <c r="AG54" s="22"/>
      <c r="AH54" s="6"/>
      <c r="AV54" s="42"/>
      <c r="AW54" s="40"/>
      <c r="AX54" s="41"/>
      <c r="AZ54" s="75"/>
      <c r="BA54" s="75"/>
      <c r="BB54" s="83"/>
      <c r="BH54" s="177" t="s">
        <v>2304</v>
      </c>
      <c r="BI54" s="177" t="s">
        <v>2305</v>
      </c>
      <c r="BJ54" s="102" t="str">
        <f t="shared" ref="BJ54:BJ106" si="20">CONCATENATE(BH54,"-",BI54)</f>
        <v>Y122-Goods originating in Russia, from a region where the CHED-PP is not requested (Part A, Annex XI of Regulation (EU) 2019/2072)</v>
      </c>
    </row>
    <row r="55" spans="2:62" ht="26" x14ac:dyDescent="0.35">
      <c r="B55" s="70" t="s">
        <v>239</v>
      </c>
      <c r="C55" s="70" t="s">
        <v>1884</v>
      </c>
      <c r="D55" s="72" t="str">
        <f t="shared" si="18"/>
        <v>BJ-Bucket</v>
      </c>
      <c r="F55" s="4" t="s">
        <v>2095</v>
      </c>
      <c r="G55" s="4" t="s">
        <v>2096</v>
      </c>
      <c r="H55" s="4" t="str">
        <f t="shared" si="1"/>
        <v>GMD-Gambian Dalasi</v>
      </c>
      <c r="J55" s="184" t="s">
        <v>1775</v>
      </c>
      <c r="K55" s="185" t="s">
        <v>1797</v>
      </c>
      <c r="L55" s="6" t="str">
        <f t="shared" si="2"/>
        <v>N787-Bordereau (cargo load list)</v>
      </c>
      <c r="N55" s="149" t="s">
        <v>928</v>
      </c>
      <c r="O55" s="149" t="s">
        <v>2128</v>
      </c>
      <c r="P55" s="148" t="str">
        <f>CONCATENATE(N55,"-",O55)</f>
        <v>CW-Curaçao</v>
      </c>
      <c r="AF55" s="22"/>
      <c r="AG55" s="22"/>
      <c r="AH55" s="6"/>
      <c r="AV55" s="42"/>
      <c r="AW55" s="40"/>
      <c r="AX55" s="41"/>
      <c r="AZ55" s="75"/>
      <c r="BA55" s="75"/>
      <c r="BB55" s="83"/>
      <c r="BH55" s="177" t="s">
        <v>2306</v>
      </c>
      <c r="BI55" s="177" t="s">
        <v>2307</v>
      </c>
      <c r="BJ55" s="102" t="str">
        <f t="shared" si="20"/>
        <v>Y146-Exemption for products intended for scientific purposes in accordance with Article 48(1) of Regulation (EU) 2016/2031</v>
      </c>
    </row>
    <row r="56" spans="2:62" ht="63.5" x14ac:dyDescent="0.35">
      <c r="B56" s="70" t="s">
        <v>333</v>
      </c>
      <c r="C56" s="70" t="s">
        <v>336</v>
      </c>
      <c r="D56" s="72" t="str">
        <f t="shared" si="18"/>
        <v>BK-Basket</v>
      </c>
      <c r="F56" s="4" t="s">
        <v>1294</v>
      </c>
      <c r="G56" s="4" t="s">
        <v>1385</v>
      </c>
      <c r="H56" s="4" t="str">
        <f t="shared" si="1"/>
        <v>GHS-Ghanaian Cedi</v>
      </c>
      <c r="J56" s="184" t="s">
        <v>1781</v>
      </c>
      <c r="K56" s="185" t="s">
        <v>2041</v>
      </c>
      <c r="L56" s="6" t="str">
        <f t="shared" si="2"/>
        <v>N952-TIR Carnet</v>
      </c>
      <c r="N56" s="9" t="s">
        <v>485</v>
      </c>
      <c r="O56" s="29" t="s">
        <v>2114</v>
      </c>
      <c r="P56" s="147" t="str">
        <f t="shared" si="3"/>
        <v>CX-Christmas Island</v>
      </c>
      <c r="AF56" s="22"/>
      <c r="AG56" s="22"/>
      <c r="AH56" s="6"/>
      <c r="AV56" s="42"/>
      <c r="AW56" s="40"/>
      <c r="AX56" s="41"/>
      <c r="AZ56" s="75"/>
      <c r="BA56" s="75"/>
      <c r="BB56" s="83"/>
      <c r="BH56" s="177" t="s">
        <v>2308</v>
      </c>
      <c r="BI56" s="177" t="s">
        <v>2309</v>
      </c>
      <c r="BJ56" s="102" t="str">
        <f t="shared" si="20"/>
        <v>Y154-Exemption from import/export prohibition on containers, non-refillable or without refilling provisions, for fluorinated greenhouse gases, empty or fully or partially filled, for laboratory or analytical uses according to Article 11.3 of Regulation (EU) 2024/573</v>
      </c>
    </row>
    <row r="57" spans="2:62" ht="26" x14ac:dyDescent="0.35">
      <c r="B57" s="70" t="s">
        <v>240</v>
      </c>
      <c r="C57" s="70" t="s">
        <v>335</v>
      </c>
      <c r="D57" s="72" t="str">
        <f t="shared" si="18"/>
        <v>BL-Bale, compressed</v>
      </c>
      <c r="F57" s="4" t="s">
        <v>1295</v>
      </c>
      <c r="G57" s="4" t="s">
        <v>1386</v>
      </c>
      <c r="H57" s="4" t="str">
        <f t="shared" si="1"/>
        <v>GNF-Guinea Franc</v>
      </c>
      <c r="J57" s="184" t="s">
        <v>1782</v>
      </c>
      <c r="K57" s="185" t="s">
        <v>352</v>
      </c>
      <c r="L57" s="6" t="str">
        <f t="shared" si="2"/>
        <v>N955-ATA carnet</v>
      </c>
      <c r="N57" s="9" t="s">
        <v>486</v>
      </c>
      <c r="O57" s="29" t="s">
        <v>2115</v>
      </c>
      <c r="P57" s="147" t="str">
        <f t="shared" si="3"/>
        <v>CY-Cypriot</v>
      </c>
      <c r="AF57" s="22"/>
      <c r="AG57" s="22"/>
      <c r="AH57" s="6"/>
      <c r="AV57" s="42"/>
      <c r="AW57" s="40"/>
      <c r="AX57" s="41"/>
      <c r="AZ57" s="75"/>
      <c r="BA57" s="75"/>
      <c r="BB57" s="83"/>
      <c r="BH57" s="177" t="s">
        <v>2310</v>
      </c>
      <c r="BI57" s="177" t="s">
        <v>2311</v>
      </c>
      <c r="BJ57" s="102" t="str">
        <f t="shared" si="20"/>
        <v>Y160-Goods other than those falling under the applicable provisions of Regulation (EU) 2024/573</v>
      </c>
    </row>
    <row r="58" spans="2:62" ht="58" x14ac:dyDescent="0.35">
      <c r="B58" s="70" t="s">
        <v>130</v>
      </c>
      <c r="C58" s="70" t="s">
        <v>34</v>
      </c>
      <c r="D58" s="72" t="str">
        <f t="shared" si="18"/>
        <v>BM-Basin</v>
      </c>
      <c r="F58" s="4" t="s">
        <v>478</v>
      </c>
      <c r="G58" s="4" t="s">
        <v>1387</v>
      </c>
      <c r="H58" s="4" t="str">
        <f t="shared" si="1"/>
        <v xml:space="preserve">XOF-CFA Frangı BCEAO </v>
      </c>
      <c r="J58" s="186" t="s">
        <v>2194</v>
      </c>
      <c r="K58" s="187" t="s">
        <v>2195</v>
      </c>
      <c r="L58" s="24" t="str">
        <f t="shared" si="2"/>
        <v>X072-Transit Licence for dual Use Items - referred to in Article 7 of the Regulation (EU) 2021/821 of the European Parliament and of the Council</v>
      </c>
      <c r="N58" s="9" t="s">
        <v>487</v>
      </c>
      <c r="O58" s="29" t="s">
        <v>488</v>
      </c>
      <c r="P58" s="147" t="str">
        <f t="shared" si="3"/>
        <v>CZ-Czech</v>
      </c>
      <c r="AF58" s="22"/>
      <c r="AG58" s="22"/>
      <c r="AH58" s="6"/>
      <c r="AV58" s="42"/>
      <c r="AW58" s="40"/>
      <c r="AX58" s="41"/>
      <c r="AZ58" s="75"/>
      <c r="BA58" s="75"/>
      <c r="BB58" s="83"/>
      <c r="BH58" s="177" t="s">
        <v>2312</v>
      </c>
      <c r="BI58" s="177" t="s">
        <v>2313</v>
      </c>
      <c r="BJ58" s="102" t="str">
        <f t="shared" si="20"/>
        <v>Y162-Exemption from the presentation of a valid licence to the customs authorities for the import or exports of products and equipment that are personal effects (Article 22(1), second subparagraph of Regulation (UE) 2024/573)</v>
      </c>
    </row>
    <row r="59" spans="2:62" ht="15" customHeight="1" x14ac:dyDescent="0.35">
      <c r="B59" s="70" t="s">
        <v>241</v>
      </c>
      <c r="C59" s="70" t="s">
        <v>334</v>
      </c>
      <c r="D59" s="72" t="str">
        <f t="shared" si="18"/>
        <v>BN-Bale, non-compressed</v>
      </c>
      <c r="F59" s="4" t="s">
        <v>1283</v>
      </c>
      <c r="G59" s="4" t="s">
        <v>1388</v>
      </c>
      <c r="H59" s="4" t="str">
        <f t="shared" si="1"/>
        <v>XCD-East Caribbean Dollar</v>
      </c>
      <c r="J59" s="127"/>
      <c r="L59" s="128"/>
      <c r="N59" s="9" t="s">
        <v>489</v>
      </c>
      <c r="O59" s="29" t="s">
        <v>490</v>
      </c>
      <c r="P59" s="147" t="str">
        <f t="shared" si="3"/>
        <v>DE-German</v>
      </c>
      <c r="AF59" s="22"/>
      <c r="AG59" s="22"/>
      <c r="AH59" s="6"/>
      <c r="AV59" s="42"/>
      <c r="AW59" s="40"/>
      <c r="AX59" s="41"/>
      <c r="AZ59" s="75"/>
      <c r="BA59" s="75"/>
      <c r="BB59" s="83"/>
      <c r="BH59" s="177" t="s">
        <v>2314</v>
      </c>
      <c r="BI59" s="177" t="s">
        <v>2315</v>
      </c>
      <c r="BJ59" s="102" t="str">
        <f t="shared" si="20"/>
        <v>Y169-Products and equipment, including parts (excluding military and repair exemption) listed in Annex IV containing F-gases or relies upon F-gases not subject to prohibition as imposed by Article 11.1. (Reg 2024/573).</v>
      </c>
    </row>
    <row r="60" spans="2:62" ht="26" x14ac:dyDescent="0.35">
      <c r="B60" s="70" t="s">
        <v>242</v>
      </c>
      <c r="C60" s="70" t="s">
        <v>883</v>
      </c>
      <c r="D60" s="72" t="str">
        <f t="shared" si="18"/>
        <v>BO-Bottle, non-protected, cylindrical</v>
      </c>
      <c r="F60" s="4" t="s">
        <v>1296</v>
      </c>
      <c r="G60" s="4" t="s">
        <v>1389</v>
      </c>
      <c r="H60" s="4" t="str">
        <f t="shared" si="1"/>
        <v>GTQ-Guatemalan Quetzal</v>
      </c>
      <c r="J60" s="127"/>
      <c r="L60" s="128"/>
      <c r="N60" s="9" t="s">
        <v>491</v>
      </c>
      <c r="O60" s="29" t="s">
        <v>492</v>
      </c>
      <c r="P60" s="147" t="str">
        <f t="shared" si="3"/>
        <v>DJ-Djibouti</v>
      </c>
      <c r="AF60" s="22"/>
      <c r="AG60" s="22"/>
      <c r="AH60" s="6"/>
      <c r="AV60" s="42"/>
      <c r="AW60" s="40"/>
      <c r="AX60" s="41"/>
      <c r="AZ60" s="75"/>
      <c r="BA60" s="75"/>
      <c r="BB60" s="83"/>
      <c r="BH60" s="177" t="s">
        <v>2316</v>
      </c>
      <c r="BI60" s="177" t="s">
        <v>2317</v>
      </c>
      <c r="BJ60" s="102" t="str">
        <f t="shared" si="20"/>
        <v>Y170-Goods with third country origin coming from Andorra, according to the relevant EU legislation.</v>
      </c>
    </row>
    <row r="61" spans="2:62" ht="26" x14ac:dyDescent="0.35">
      <c r="B61" s="70" t="s">
        <v>884</v>
      </c>
      <c r="C61" s="70" t="s">
        <v>885</v>
      </c>
      <c r="D61" s="72" t="str">
        <f t="shared" si="18"/>
        <v>BP-Balloon, protected</v>
      </c>
      <c r="F61" s="4" t="s">
        <v>1297</v>
      </c>
      <c r="G61" s="4" t="s">
        <v>1390</v>
      </c>
      <c r="H61" s="4" t="str">
        <f t="shared" si="1"/>
        <v>GYD-Guyanan Dollar</v>
      </c>
      <c r="J61" s="127"/>
      <c r="L61" s="128"/>
      <c r="N61" s="9" t="s">
        <v>493</v>
      </c>
      <c r="O61" s="29" t="s">
        <v>494</v>
      </c>
      <c r="P61" s="147" t="str">
        <f t="shared" si="3"/>
        <v>DK-Danish</v>
      </c>
      <c r="AF61" s="22"/>
      <c r="AG61" s="22"/>
      <c r="AH61" s="6"/>
      <c r="AV61" s="42"/>
      <c r="AW61" s="40"/>
      <c r="AX61" s="41"/>
      <c r="AZ61" s="75"/>
      <c r="BA61" s="75"/>
      <c r="BB61" s="83"/>
      <c r="BH61" s="177" t="s">
        <v>2318</v>
      </c>
      <c r="BI61" s="177" t="s">
        <v>2319</v>
      </c>
      <c r="BJ61" s="102" t="str">
        <f t="shared" si="20"/>
        <v>Y171-Goods with third country origin coming from Switzerland, according to the relevant EU legislation</v>
      </c>
    </row>
    <row r="62" spans="2:62" ht="26" x14ac:dyDescent="0.35">
      <c r="B62" s="70" t="s">
        <v>886</v>
      </c>
      <c r="C62" s="70" t="s">
        <v>887</v>
      </c>
      <c r="D62" s="72" t="str">
        <f t="shared" si="18"/>
        <v>BQ-Bottle, protected, cylindrical</v>
      </c>
      <c r="F62" s="4" t="s">
        <v>1298</v>
      </c>
      <c r="G62" s="4" t="s">
        <v>1391</v>
      </c>
      <c r="H62" s="4" t="str">
        <f t="shared" si="1"/>
        <v>XAG-Silver (oz.)</v>
      </c>
      <c r="J62" s="127"/>
      <c r="L62" s="128"/>
      <c r="N62" s="9" t="s">
        <v>495</v>
      </c>
      <c r="O62" s="29" t="s">
        <v>496</v>
      </c>
      <c r="P62" s="147" t="str">
        <f t="shared" si="3"/>
        <v>DM-Dominica</v>
      </c>
      <c r="AF62" s="22"/>
      <c r="AG62" s="22"/>
      <c r="AH62" s="6"/>
      <c r="AV62" s="42"/>
      <c r="AW62" s="40"/>
      <c r="AX62" s="41"/>
      <c r="AZ62" s="75"/>
      <c r="BA62" s="75"/>
      <c r="BB62" s="83"/>
      <c r="BH62" s="177" t="s">
        <v>2320</v>
      </c>
      <c r="BI62" s="177" t="s">
        <v>2321</v>
      </c>
      <c r="BJ62" s="102" t="str">
        <f t="shared" si="20"/>
        <v>Y172-Goods with third country origin coming from Faroe Islands, according to the relevant EU legislation</v>
      </c>
    </row>
    <row r="63" spans="2:62" ht="26" x14ac:dyDescent="0.35">
      <c r="B63" s="70" t="s">
        <v>243</v>
      </c>
      <c r="C63" s="70" t="s">
        <v>888</v>
      </c>
      <c r="D63" s="72" t="str">
        <f t="shared" si="18"/>
        <v>BR-Bar</v>
      </c>
      <c r="F63" s="4" t="s">
        <v>481</v>
      </c>
      <c r="G63" s="4" t="s">
        <v>1392</v>
      </c>
      <c r="H63" s="4" t="str">
        <f t="shared" si="1"/>
        <v>ZAR-South African Rand</v>
      </c>
      <c r="J63" s="127"/>
      <c r="L63" s="128"/>
      <c r="N63" s="9" t="s">
        <v>497</v>
      </c>
      <c r="O63" s="29" t="s">
        <v>498</v>
      </c>
      <c r="P63" s="147" t="str">
        <f t="shared" si="3"/>
        <v>DO-Dominican Republic</v>
      </c>
      <c r="AF63" s="22"/>
      <c r="AG63" s="22"/>
      <c r="AH63" s="6"/>
      <c r="AV63" s="42"/>
      <c r="AW63" s="40"/>
      <c r="AX63" s="41"/>
      <c r="AZ63" s="75"/>
      <c r="BA63" s="75"/>
      <c r="BB63" s="83"/>
      <c r="BH63" s="177" t="s">
        <v>2322</v>
      </c>
      <c r="BI63" s="177" t="s">
        <v>2323</v>
      </c>
      <c r="BJ63" s="102" t="str">
        <f t="shared" si="20"/>
        <v>Y173-Goods with third country origin coming from Greenland, according to the relevant EU legislation</v>
      </c>
    </row>
    <row r="64" spans="2:62" ht="26" x14ac:dyDescent="0.35">
      <c r="B64" s="70" t="s">
        <v>244</v>
      </c>
      <c r="C64" s="70" t="s">
        <v>889</v>
      </c>
      <c r="D64" s="72" t="str">
        <f t="shared" si="18"/>
        <v>BS-Bottle, non-protected, bulbous</v>
      </c>
      <c r="F64" s="4" t="s">
        <v>1299</v>
      </c>
      <c r="G64" s="4" t="s">
        <v>1393</v>
      </c>
      <c r="H64" s="4" t="str">
        <f t="shared" si="1"/>
        <v>SSP-South Sudanese Pound </v>
      </c>
      <c r="J64" s="127"/>
      <c r="L64" s="128"/>
      <c r="N64" s="9" t="s">
        <v>499</v>
      </c>
      <c r="O64" s="29" t="s">
        <v>500</v>
      </c>
      <c r="P64" s="147" t="str">
        <f t="shared" si="3"/>
        <v>DZ-Algeria</v>
      </c>
      <c r="AF64" s="22"/>
      <c r="AG64" s="22"/>
      <c r="AH64" s="6"/>
      <c r="AV64" s="53"/>
      <c r="AW64" s="40"/>
      <c r="AX64" s="41"/>
      <c r="AZ64" s="75"/>
      <c r="BA64" s="75"/>
      <c r="BB64" s="83"/>
      <c r="BH64" s="177" t="s">
        <v>2324</v>
      </c>
      <c r="BI64" s="177" t="s">
        <v>2325</v>
      </c>
      <c r="BJ64" s="102" t="str">
        <f t="shared" si="20"/>
        <v>Y174-Goods with third country origin coming from Iceland, according to the relevant EU legislation</v>
      </c>
    </row>
    <row r="65" spans="2:62" ht="26" x14ac:dyDescent="0.35">
      <c r="B65" s="70" t="s">
        <v>245</v>
      </c>
      <c r="C65" s="70" t="s">
        <v>890</v>
      </c>
      <c r="D65" s="72" t="str">
        <f t="shared" si="18"/>
        <v>BT-bolt</v>
      </c>
      <c r="F65" s="4" t="s">
        <v>1300</v>
      </c>
      <c r="G65" s="4" t="s">
        <v>1394</v>
      </c>
      <c r="H65" s="4" t="str">
        <f t="shared" si="1"/>
        <v>GEL-Lari</v>
      </c>
      <c r="J65" s="127"/>
      <c r="L65" s="128"/>
      <c r="N65" s="9" t="s">
        <v>501</v>
      </c>
      <c r="O65" s="29" t="s">
        <v>502</v>
      </c>
      <c r="P65" s="147" t="str">
        <f t="shared" si="3"/>
        <v>EC-Ecuador</v>
      </c>
      <c r="AF65" s="22"/>
      <c r="AG65" s="22"/>
      <c r="AH65" s="6"/>
      <c r="AV65" s="53"/>
      <c r="AW65" s="40"/>
      <c r="AX65" s="41"/>
      <c r="AZ65" s="75"/>
      <c r="BA65" s="75"/>
      <c r="BB65" s="83"/>
      <c r="BH65" s="177" t="s">
        <v>2326</v>
      </c>
      <c r="BI65" s="177" t="s">
        <v>2327</v>
      </c>
      <c r="BJ65" s="102" t="str">
        <f t="shared" si="20"/>
        <v>Y175-Goods with third country origin coming from Liechtenstein, according to the relevant EU legislation</v>
      </c>
    </row>
    <row r="66" spans="2:62" ht="26" x14ac:dyDescent="0.35">
      <c r="B66" s="70" t="s">
        <v>891</v>
      </c>
      <c r="C66" s="70" t="s">
        <v>892</v>
      </c>
      <c r="D66" s="72" t="str">
        <f t="shared" ref="D66:D94" si="21">CONCATENATE(B66,"-",C66)</f>
        <v>BU-Butt</v>
      </c>
      <c r="F66" s="4" t="s">
        <v>1301</v>
      </c>
      <c r="G66" s="4" t="s">
        <v>1395</v>
      </c>
      <c r="H66" s="4" t="str">
        <f t="shared" ref="H66:H129" si="22">CONCATENATE(F66,"-",G66)</f>
        <v>HTG-Haitian Gourde</v>
      </c>
      <c r="J66" s="127"/>
      <c r="L66" s="128"/>
      <c r="N66" s="9" t="s">
        <v>503</v>
      </c>
      <c r="O66" s="29" t="s">
        <v>504</v>
      </c>
      <c r="P66" s="147" t="str">
        <f t="shared" si="3"/>
        <v>EE-Estonian</v>
      </c>
      <c r="AF66" s="22"/>
      <c r="AG66" s="22"/>
      <c r="AH66" s="6"/>
      <c r="AV66" s="53"/>
      <c r="AW66" s="40"/>
      <c r="AX66" s="41"/>
      <c r="AZ66" s="75"/>
      <c r="BA66" s="75"/>
      <c r="BB66" s="83"/>
      <c r="BH66" s="177" t="s">
        <v>2328</v>
      </c>
      <c r="BI66" s="177" t="s">
        <v>2329</v>
      </c>
      <c r="BJ66" s="102" t="str">
        <f t="shared" si="20"/>
        <v>Y176-Goods with third country origin coming from Norway, according to the relevant EU legislation</v>
      </c>
    </row>
    <row r="67" spans="2:62" ht="26" x14ac:dyDescent="0.35">
      <c r="B67" s="70" t="s">
        <v>246</v>
      </c>
      <c r="C67" s="70" t="s">
        <v>893</v>
      </c>
      <c r="D67" s="72" t="str">
        <f t="shared" si="21"/>
        <v>BV-Bottle, protected, bulbous</v>
      </c>
      <c r="F67" s="4" t="s">
        <v>312</v>
      </c>
      <c r="G67" s="4" t="s">
        <v>1396</v>
      </c>
      <c r="H67" s="4" t="str">
        <f t="shared" si="22"/>
        <v>HRK-Croatian Kuna</v>
      </c>
      <c r="J67" s="127"/>
      <c r="L67" s="128"/>
      <c r="N67" s="9" t="s">
        <v>505</v>
      </c>
      <c r="O67" s="29" t="s">
        <v>506</v>
      </c>
      <c r="P67" s="147" t="str">
        <f t="shared" si="3"/>
        <v>EG-Egypt</v>
      </c>
      <c r="AF67" s="22"/>
      <c r="AG67" s="22"/>
      <c r="AH67" s="6"/>
      <c r="AV67" s="53"/>
      <c r="AW67" s="40"/>
      <c r="AX67" s="41"/>
      <c r="AZ67" s="75"/>
      <c r="BA67" s="75"/>
      <c r="BB67" s="83"/>
      <c r="BH67" s="177" t="s">
        <v>2330</v>
      </c>
      <c r="BI67" s="177" t="s">
        <v>2331</v>
      </c>
      <c r="BJ67" s="102" t="str">
        <f t="shared" si="20"/>
        <v>Y177-Goods with third country origin coming from San Marino, according to the relevant EU legislation</v>
      </c>
    </row>
    <row r="68" spans="2:62" ht="14.5" x14ac:dyDescent="0.35">
      <c r="B68" s="70" t="s">
        <v>131</v>
      </c>
      <c r="C68" s="70" t="s">
        <v>894</v>
      </c>
      <c r="D68" s="72" t="str">
        <f t="shared" si="21"/>
        <v>BW-Box, for liquids</v>
      </c>
      <c r="F68" s="4" t="s">
        <v>332</v>
      </c>
      <c r="G68" s="4" t="s">
        <v>1397</v>
      </c>
      <c r="H68" s="4" t="str">
        <f t="shared" si="22"/>
        <v>INR-Indian Rupee</v>
      </c>
      <c r="J68" s="127"/>
      <c r="L68" s="128"/>
      <c r="N68" s="9" t="s">
        <v>507</v>
      </c>
      <c r="O68" s="29" t="s">
        <v>508</v>
      </c>
      <c r="P68" s="147" t="str">
        <f t="shared" ref="P68:P132" si="23">CONCATENATE(N68,"-",O68)</f>
        <v>EH-Western Sahara</v>
      </c>
      <c r="AF68" s="22"/>
      <c r="AG68" s="22"/>
      <c r="AH68" s="6"/>
      <c r="AV68" s="53"/>
      <c r="AW68" s="40"/>
      <c r="AX68" s="41"/>
      <c r="AZ68" s="81"/>
      <c r="BA68" s="81"/>
      <c r="BB68" s="84"/>
      <c r="BH68" s="177" t="s">
        <v>2332</v>
      </c>
      <c r="BI68" s="177" t="s">
        <v>2333</v>
      </c>
      <c r="BJ68" s="102" t="str">
        <f t="shared" si="20"/>
        <v>Y178-Dental amalgam used for specific medical needs</v>
      </c>
    </row>
    <row r="69" spans="2:62" ht="51" x14ac:dyDescent="0.35">
      <c r="B69" s="70" t="s">
        <v>895</v>
      </c>
      <c r="C69" s="70" t="s">
        <v>896</v>
      </c>
      <c r="D69" s="72" t="str">
        <f t="shared" si="21"/>
        <v>BX-Box</v>
      </c>
      <c r="F69" s="4" t="s">
        <v>315</v>
      </c>
      <c r="G69" s="4" t="s">
        <v>1398</v>
      </c>
      <c r="H69" s="4" t="str">
        <f t="shared" si="22"/>
        <v>ANG-Netherlands Antillian Guilder</v>
      </c>
      <c r="J69" s="127"/>
      <c r="L69" s="128"/>
      <c r="N69" s="9" t="s">
        <v>509</v>
      </c>
      <c r="O69" s="29" t="s">
        <v>510</v>
      </c>
      <c r="P69" s="147" t="str">
        <f t="shared" si="23"/>
        <v>ER-Eritrea</v>
      </c>
      <c r="AF69" s="22"/>
      <c r="AG69" s="22"/>
      <c r="AH69" s="6"/>
      <c r="AV69" s="53"/>
      <c r="AW69" s="40"/>
      <c r="AX69" s="41"/>
      <c r="BH69" s="177" t="s">
        <v>2334</v>
      </c>
      <c r="BI69" s="177" t="s">
        <v>2335</v>
      </c>
      <c r="BJ69" s="102" t="str">
        <f t="shared" si="20"/>
        <v>Y179-Quota provisions from Article 19 (Reg 2024/573) do not apply for products or equipment pre-charged with fluorinated greenhouse gases other than HFCs from Section 1 of Annex I (Reg 2024/573)</v>
      </c>
    </row>
    <row r="70" spans="2:62" ht="38.5" x14ac:dyDescent="0.35">
      <c r="B70" s="70" t="s">
        <v>247</v>
      </c>
      <c r="C70" s="70" t="s">
        <v>897</v>
      </c>
      <c r="D70" s="72" t="str">
        <f t="shared" si="21"/>
        <v>BY-Boards, in bundle/bunch/truss</v>
      </c>
      <c r="F70" s="4" t="s">
        <v>1302</v>
      </c>
      <c r="G70" s="4" t="s">
        <v>1399</v>
      </c>
      <c r="H70" s="4" t="str">
        <f t="shared" si="22"/>
        <v>HNL-Honduran Lempira</v>
      </c>
      <c r="J70" s="127"/>
      <c r="L70" s="128"/>
      <c r="N70" s="9" t="s">
        <v>511</v>
      </c>
      <c r="O70" s="29" t="s">
        <v>512</v>
      </c>
      <c r="P70" s="147" t="str">
        <f t="shared" si="23"/>
        <v>ES-Spanish</v>
      </c>
      <c r="AF70" s="22"/>
      <c r="AG70" s="22"/>
      <c r="AH70" s="6"/>
      <c r="AV70" s="53"/>
      <c r="AW70" s="40"/>
      <c r="AX70" s="41"/>
      <c r="BH70" s="177" t="s">
        <v>2336</v>
      </c>
      <c r="BI70" s="177" t="s">
        <v>2337</v>
      </c>
      <c r="BJ70" s="102" t="str">
        <f t="shared" si="20"/>
        <v>Y227-The contract prohibits re-exportation to Russia and re-exportation for use in Russia – Article 12g paragraph 1 of Regulation (EU) 833/2014</v>
      </c>
    </row>
    <row r="71" spans="2:62" ht="38.5" x14ac:dyDescent="0.35">
      <c r="B71" s="70" t="s">
        <v>248</v>
      </c>
      <c r="C71" s="70" t="s">
        <v>898</v>
      </c>
      <c r="D71" s="72" t="str">
        <f t="shared" si="21"/>
        <v>BZ-Bars, in bundle/bunch/truss</v>
      </c>
      <c r="F71" s="4" t="s">
        <v>331</v>
      </c>
      <c r="G71" s="4" t="s">
        <v>1400</v>
      </c>
      <c r="H71" s="4" t="str">
        <f t="shared" si="22"/>
        <v>HKD-Hong Kong Dollar</v>
      </c>
      <c r="J71" s="127"/>
      <c r="L71" s="128"/>
      <c r="N71" s="9" t="s">
        <v>513</v>
      </c>
      <c r="O71" s="29" t="s">
        <v>514</v>
      </c>
      <c r="P71" s="147" t="str">
        <f t="shared" si="23"/>
        <v>ET-Ethiopia</v>
      </c>
      <c r="AF71" s="22"/>
      <c r="AG71" s="22"/>
      <c r="AH71" s="6"/>
      <c r="AV71" s="53"/>
      <c r="AW71" s="40"/>
      <c r="AX71" s="41"/>
      <c r="BH71" s="177" t="s">
        <v>2338</v>
      </c>
      <c r="BI71" s="177" t="s">
        <v>2339</v>
      </c>
      <c r="BJ71" s="102" t="str">
        <f t="shared" si="20"/>
        <v>Y228-The prohibitions defined in article 12g.1 of Council Regulation (EU) No 833/2014 do not apply (see contractual exemptions in article 12g.2 b)</v>
      </c>
    </row>
    <row r="72" spans="2:62" ht="38.5" x14ac:dyDescent="0.35">
      <c r="B72" s="70" t="s">
        <v>249</v>
      </c>
      <c r="C72" s="70" t="s">
        <v>899</v>
      </c>
      <c r="D72" s="72" t="str">
        <f t="shared" si="21"/>
        <v>CA-Can, rectangular</v>
      </c>
      <c r="F72" s="4" t="s">
        <v>433</v>
      </c>
      <c r="G72" s="4" t="s">
        <v>1401</v>
      </c>
      <c r="H72" s="4" t="str">
        <f t="shared" si="22"/>
        <v>IQD-Iraqi Dinar</v>
      </c>
      <c r="J72" s="127"/>
      <c r="L72" s="128"/>
      <c r="N72" s="149" t="s">
        <v>2129</v>
      </c>
      <c r="O72" s="149" t="s">
        <v>2130</v>
      </c>
      <c r="P72" s="148" t="str">
        <f>CONCATENATE(N72,"-",O72)</f>
        <v>EU-European Union</v>
      </c>
      <c r="AF72" s="22"/>
      <c r="AG72" s="22"/>
      <c r="AH72" s="6"/>
      <c r="AV72" s="53"/>
      <c r="AW72" s="40"/>
      <c r="AX72" s="41"/>
      <c r="BH72" s="177" t="s">
        <v>2340</v>
      </c>
      <c r="BI72" s="177" t="s">
        <v>2341</v>
      </c>
      <c r="BJ72" s="102" t="str">
        <f t="shared" si="20"/>
        <v>Y229-Public contracts concluded with a public authority in a third country or with an international organisation - Article 12g paragraph 2a of Regulation (EU) 833/2014</v>
      </c>
    </row>
    <row r="73" spans="2:62" ht="38.5" x14ac:dyDescent="0.35">
      <c r="B73" s="70" t="s">
        <v>900</v>
      </c>
      <c r="C73" s="70" t="s">
        <v>901</v>
      </c>
      <c r="D73" s="72" t="str">
        <f t="shared" si="21"/>
        <v>CB-Beer crate</v>
      </c>
      <c r="F73" s="4" t="s">
        <v>212</v>
      </c>
      <c r="G73" s="4" t="s">
        <v>1402</v>
      </c>
      <c r="H73" s="4" t="str">
        <f t="shared" si="22"/>
        <v>GBP-Pound Sterling</v>
      </c>
      <c r="J73" s="127"/>
      <c r="L73" s="128"/>
      <c r="N73" s="9" t="s">
        <v>515</v>
      </c>
      <c r="O73" s="29" t="s">
        <v>516</v>
      </c>
      <c r="P73" s="147" t="str">
        <f t="shared" si="23"/>
        <v>FI-Finnish</v>
      </c>
      <c r="AF73" s="22"/>
      <c r="AG73" s="22"/>
      <c r="AH73" s="6"/>
      <c r="AV73" s="53"/>
      <c r="AW73" s="40"/>
      <c r="AX73" s="41"/>
      <c r="BH73" s="177" t="s">
        <v>2342</v>
      </c>
      <c r="BI73" s="177" t="s">
        <v>2343</v>
      </c>
      <c r="BJ73" s="102" t="str">
        <f t="shared" si="20"/>
        <v>Y230-Contract prohibits re-exportation to Belarus and re-exportation for use in Belarus – Article 8g paragraph 1 of Council Regulation (EC) No 765/2006</v>
      </c>
    </row>
    <row r="74" spans="2:62" ht="38.5" x14ac:dyDescent="0.35">
      <c r="B74" s="70" t="s">
        <v>250</v>
      </c>
      <c r="C74" s="70" t="s">
        <v>902</v>
      </c>
      <c r="D74" s="72" t="str">
        <f t="shared" si="21"/>
        <v>CC-Churn</v>
      </c>
      <c r="F74" s="4" t="s">
        <v>434</v>
      </c>
      <c r="G74" s="4" t="s">
        <v>1403</v>
      </c>
      <c r="H74" s="4" t="str">
        <f t="shared" si="22"/>
        <v>IRR-Iranian Rial</v>
      </c>
      <c r="J74" s="127"/>
      <c r="L74" s="128"/>
      <c r="N74" s="9" t="s">
        <v>517</v>
      </c>
      <c r="O74" s="29" t="s">
        <v>518</v>
      </c>
      <c r="P74" s="147" t="str">
        <f t="shared" si="23"/>
        <v>FJ-Fiji</v>
      </c>
      <c r="AF74" s="22"/>
      <c r="AG74" s="22"/>
      <c r="AH74" s="6"/>
      <c r="AV74" s="53"/>
      <c r="AW74" s="40"/>
      <c r="AX74" s="41"/>
      <c r="BH74" s="177" t="s">
        <v>2344</v>
      </c>
      <c r="BI74" s="177" t="s">
        <v>2345</v>
      </c>
      <c r="BJ74" s="102" t="str">
        <f t="shared" si="20"/>
        <v>Y231-The prohibitions defined in article 8g.1 of Council Regulation (EC) No 765/2006 do not apply (see contractual exemptions in article 8g.2)</v>
      </c>
    </row>
    <row r="75" spans="2:62" ht="38.5" x14ac:dyDescent="0.35">
      <c r="B75" s="70" t="s">
        <v>132</v>
      </c>
      <c r="C75" s="70" t="s">
        <v>903</v>
      </c>
      <c r="D75" s="72" t="str">
        <f t="shared" si="21"/>
        <v>CD-Can, with handle and spout</v>
      </c>
      <c r="F75" s="4" t="s">
        <v>1303</v>
      </c>
      <c r="G75" s="4" t="s">
        <v>1404</v>
      </c>
      <c r="H75" s="4" t="str">
        <f t="shared" si="22"/>
        <v>ILS-Israeli New Shekel</v>
      </c>
      <c r="J75" s="127"/>
      <c r="L75" s="128"/>
      <c r="N75" s="9" t="s">
        <v>519</v>
      </c>
      <c r="O75" s="29" t="s">
        <v>520</v>
      </c>
      <c r="P75" s="147" t="str">
        <f t="shared" si="23"/>
        <v>FK-Falkland Islands (Malvinas)</v>
      </c>
      <c r="AF75" s="22"/>
      <c r="AG75" s="22"/>
      <c r="AH75" s="6"/>
      <c r="AV75" s="53"/>
      <c r="AW75" s="40"/>
      <c r="AX75" s="41"/>
      <c r="BH75" s="177" t="s">
        <v>2346</v>
      </c>
      <c r="BI75" s="177" t="s">
        <v>2347</v>
      </c>
      <c r="BJ75" s="102" t="str">
        <f t="shared" si="20"/>
        <v>Y232-Public contracts concluded with a public authority in a third country or with an international organisation - Article 8g paragraph 3 of Council Regulation (EC) No 765/2006</v>
      </c>
    </row>
    <row r="76" spans="2:62" ht="14.5" x14ac:dyDescent="0.35">
      <c r="B76" s="70" t="s">
        <v>904</v>
      </c>
      <c r="C76" s="70" t="s">
        <v>905</v>
      </c>
      <c r="D76" s="72" t="str">
        <f t="shared" si="21"/>
        <v>CE-Creel</v>
      </c>
      <c r="F76" s="4" t="s">
        <v>463</v>
      </c>
      <c r="G76" s="4" t="s">
        <v>1405</v>
      </c>
      <c r="H76" s="4" t="str">
        <f t="shared" si="22"/>
        <v>SEK-Swedish Krona</v>
      </c>
      <c r="J76" s="127"/>
      <c r="L76" s="128"/>
      <c r="N76" s="9" t="s">
        <v>521</v>
      </c>
      <c r="O76" s="29" t="s">
        <v>522</v>
      </c>
      <c r="P76" s="147" t="str">
        <f t="shared" si="23"/>
        <v>FM-Micronesia</v>
      </c>
      <c r="AF76" s="22"/>
      <c r="AG76" s="22"/>
      <c r="AH76" s="6"/>
      <c r="AV76" s="53"/>
      <c r="AW76" s="40"/>
      <c r="AX76" s="41"/>
      <c r="BH76" s="177" t="s">
        <v>2348</v>
      </c>
      <c r="BI76" s="177" t="s">
        <v>2349</v>
      </c>
      <c r="BJ76" s="102" t="str">
        <f t="shared" si="20"/>
        <v>Y233-Goods not concerned by Regulation (EU) 224/2014</v>
      </c>
    </row>
    <row r="77" spans="2:62" ht="14.5" x14ac:dyDescent="0.35">
      <c r="B77" s="70" t="s">
        <v>251</v>
      </c>
      <c r="C77" s="70" t="s">
        <v>906</v>
      </c>
      <c r="D77" s="72" t="str">
        <f t="shared" si="21"/>
        <v>CF-Coffer</v>
      </c>
      <c r="F77" s="4" t="s">
        <v>209</v>
      </c>
      <c r="G77" s="4" t="s">
        <v>1406</v>
      </c>
      <c r="H77" s="4" t="str">
        <f t="shared" si="22"/>
        <v>CHF-Swiss Franc</v>
      </c>
      <c r="J77" s="127"/>
      <c r="L77" s="128"/>
      <c r="N77" s="9" t="s">
        <v>523</v>
      </c>
      <c r="O77" s="29" t="s">
        <v>524</v>
      </c>
      <c r="P77" s="147" t="str">
        <f t="shared" si="23"/>
        <v>FO-Faroe Is</v>
      </c>
      <c r="AF77" s="22"/>
      <c r="AG77" s="22"/>
      <c r="AH77" s="6"/>
      <c r="AV77" s="53"/>
      <c r="AW77" s="40"/>
      <c r="AX77" s="41"/>
      <c r="BH77" s="177" t="s">
        <v>2350</v>
      </c>
      <c r="BI77" s="177" t="s">
        <v>2351</v>
      </c>
      <c r="BJ77" s="102" t="str">
        <f t="shared" si="20"/>
        <v>Y234-Goods not concerned by Regulation (EU) 2022/2309</v>
      </c>
    </row>
    <row r="78" spans="2:62" ht="26" x14ac:dyDescent="0.35">
      <c r="B78" s="70" t="s">
        <v>252</v>
      </c>
      <c r="C78" s="70" t="s">
        <v>907</v>
      </c>
      <c r="D78" s="72" t="str">
        <f t="shared" si="21"/>
        <v>CG-Cage</v>
      </c>
      <c r="F78" s="4" t="s">
        <v>1304</v>
      </c>
      <c r="G78" s="4" t="s">
        <v>1407</v>
      </c>
      <c r="H78" s="4" t="str">
        <f t="shared" si="22"/>
        <v>ISK-Iceland Krona</v>
      </c>
      <c r="J78" s="127"/>
      <c r="L78" s="128"/>
      <c r="N78" s="9" t="s">
        <v>525</v>
      </c>
      <c r="O78" s="29" t="s">
        <v>526</v>
      </c>
      <c r="P78" s="147" t="str">
        <f t="shared" si="23"/>
        <v>FR-French</v>
      </c>
      <c r="AF78" s="22"/>
      <c r="AG78" s="22"/>
      <c r="AH78" s="6"/>
      <c r="AV78" s="53"/>
      <c r="AW78" s="40"/>
      <c r="AX78" s="41"/>
      <c r="BH78" s="177" t="s">
        <v>2352</v>
      </c>
      <c r="BI78" s="177" t="s">
        <v>2353</v>
      </c>
      <c r="BJ78" s="102" t="str">
        <f t="shared" si="20"/>
        <v>Y698-Goods exported from Russia before 22 July 2022 (Article 3o paragraph 1 of Regulation No 833/2014)</v>
      </c>
    </row>
    <row r="79" spans="2:62" ht="51" x14ac:dyDescent="0.35">
      <c r="B79" s="70" t="s">
        <v>2</v>
      </c>
      <c r="C79" s="70" t="s">
        <v>908</v>
      </c>
      <c r="D79" s="72" t="str">
        <f t="shared" si="21"/>
        <v>CH-Chest</v>
      </c>
      <c r="F79" s="4" t="s">
        <v>1305</v>
      </c>
      <c r="G79" s="4" t="s">
        <v>1408</v>
      </c>
      <c r="H79" s="4" t="str">
        <f t="shared" si="22"/>
        <v>JMD-Jamaican Dollar</v>
      </c>
      <c r="J79" s="127"/>
      <c r="L79" s="128"/>
      <c r="N79" s="9" t="s">
        <v>527</v>
      </c>
      <c r="O79" s="29" t="s">
        <v>528</v>
      </c>
      <c r="P79" s="147" t="str">
        <f t="shared" si="23"/>
        <v>GA-Gabon</v>
      </c>
      <c r="AF79" s="22"/>
      <c r="AG79" s="22"/>
      <c r="AH79" s="6"/>
      <c r="AV79" s="53"/>
      <c r="AW79" s="40"/>
      <c r="AX79" s="41"/>
      <c r="BH79" s="177" t="s">
        <v>2354</v>
      </c>
      <c r="BI79" s="177" t="s">
        <v>2355</v>
      </c>
      <c r="BJ79" s="102" t="str">
        <f t="shared" si="20"/>
        <v>Y699-Products that had been physically located in a processed or manufactured state in a third country before the date of applicability of the respective prohibition (Article 3p paragraph 12 of Council Regulation (EU) No 833/2014)</v>
      </c>
    </row>
    <row r="80" spans="2:62" ht="38.5" x14ac:dyDescent="0.35">
      <c r="B80" s="70" t="s">
        <v>253</v>
      </c>
      <c r="C80" s="70" t="s">
        <v>909</v>
      </c>
      <c r="D80" s="72" t="str">
        <f t="shared" si="21"/>
        <v>CI-Canister</v>
      </c>
      <c r="F80" s="4" t="s">
        <v>436</v>
      </c>
      <c r="G80" s="4" t="s">
        <v>1409</v>
      </c>
      <c r="H80" s="4" t="str">
        <f t="shared" si="22"/>
        <v>JPY-Japanese Yen</v>
      </c>
      <c r="J80" s="127"/>
      <c r="L80" s="128"/>
      <c r="N80" s="9" t="s">
        <v>529</v>
      </c>
      <c r="O80" s="29" t="s">
        <v>530</v>
      </c>
      <c r="P80" s="147" t="str">
        <f t="shared" si="23"/>
        <v>GB-British</v>
      </c>
      <c r="AF80" s="22"/>
      <c r="AG80" s="22"/>
      <c r="AH80" s="6"/>
      <c r="AV80" s="53"/>
      <c r="AW80" s="40"/>
      <c r="AX80" s="41"/>
      <c r="BH80" s="177" t="s">
        <v>2356</v>
      </c>
      <c r="BI80" s="177" t="s">
        <v>2357</v>
      </c>
      <c r="BJ80" s="102" t="str">
        <f t="shared" si="20"/>
        <v>Y751-The prohibitions defined in article 3 1a of Council Regulation (EU) No 833/2014 do not apply (see contractual exemptions in article 3.3a)</v>
      </c>
    </row>
    <row r="81" spans="2:62" ht="38.5" x14ac:dyDescent="0.35">
      <c r="B81" s="70" t="s">
        <v>910</v>
      </c>
      <c r="C81" s="70" t="s">
        <v>911</v>
      </c>
      <c r="D81" s="72" t="str">
        <f t="shared" si="21"/>
        <v>CJ-Coffin</v>
      </c>
      <c r="F81" s="4" t="s">
        <v>1306</v>
      </c>
      <c r="G81" s="4" t="s">
        <v>1410</v>
      </c>
      <c r="H81" s="4" t="str">
        <f t="shared" si="22"/>
        <v>KHR-Kampuchean (Cambodian) Riel</v>
      </c>
      <c r="J81" s="127"/>
      <c r="L81" s="128"/>
      <c r="N81" s="9" t="s">
        <v>531</v>
      </c>
      <c r="O81" s="29" t="s">
        <v>532</v>
      </c>
      <c r="P81" s="147" t="str">
        <f t="shared" si="23"/>
        <v>GD-Grenada</v>
      </c>
      <c r="AF81" s="22"/>
      <c r="AG81" s="22"/>
      <c r="AH81" s="6"/>
      <c r="AV81" s="53"/>
      <c r="AW81" s="40"/>
      <c r="AX81" s="41"/>
      <c r="BH81" s="177" t="s">
        <v>2358</v>
      </c>
      <c r="BI81" s="177" t="s">
        <v>2359</v>
      </c>
      <c r="BJ81" s="102" t="str">
        <f t="shared" si="20"/>
        <v>Y752-The prohibitions defined in article 3k.1 of Council Regulation (EU) No 833/2014 do not apply (see contractual exemptions in article 3k.3ag)</v>
      </c>
    </row>
    <row r="82" spans="2:62" ht="26" x14ac:dyDescent="0.35">
      <c r="B82" s="70" t="s">
        <v>254</v>
      </c>
      <c r="C82" s="70" t="s">
        <v>912</v>
      </c>
      <c r="D82" s="72" t="str">
        <f t="shared" si="21"/>
        <v>CK-Cask</v>
      </c>
      <c r="F82" s="4" t="s">
        <v>477</v>
      </c>
      <c r="G82" s="4" t="s">
        <v>1411</v>
      </c>
      <c r="H82" s="4" t="str">
        <f t="shared" si="22"/>
        <v>XAF-Cameroon, CFA Franc BEAC</v>
      </c>
      <c r="J82" s="127"/>
      <c r="L82" s="128"/>
      <c r="N82" s="9" t="s">
        <v>533</v>
      </c>
      <c r="O82" s="29" t="s">
        <v>534</v>
      </c>
      <c r="P82" s="147" t="str">
        <f t="shared" si="23"/>
        <v>GE-Georgia</v>
      </c>
      <c r="AF82" s="22"/>
      <c r="AG82" s="22"/>
      <c r="AH82" s="6"/>
      <c r="AV82" s="53"/>
      <c r="AW82" s="40"/>
      <c r="AX82" s="41"/>
      <c r="BH82" s="177" t="s">
        <v>2360</v>
      </c>
      <c r="BI82" s="177" t="s">
        <v>2361</v>
      </c>
      <c r="BJ82" s="102" t="str">
        <f t="shared" si="20"/>
        <v>Y753-The declared goods are not concerned by Council Regulation (EC) No. 2017/1509, Annex II</v>
      </c>
    </row>
    <row r="83" spans="2:62" ht="26" x14ac:dyDescent="0.35">
      <c r="B83" s="70" t="s">
        <v>255</v>
      </c>
      <c r="C83" s="70" t="s">
        <v>913</v>
      </c>
      <c r="D83" s="72" t="str">
        <f t="shared" si="21"/>
        <v>CL-Coil</v>
      </c>
      <c r="F83" s="4" t="s">
        <v>325</v>
      </c>
      <c r="G83" s="4" t="s">
        <v>1412</v>
      </c>
      <c r="H83" s="4" t="str">
        <f t="shared" si="22"/>
        <v>CAD-Canadian Dollar</v>
      </c>
      <c r="J83" s="127"/>
      <c r="L83" s="128"/>
      <c r="N83" s="9" t="s">
        <v>535</v>
      </c>
      <c r="O83" s="29" t="s">
        <v>536</v>
      </c>
      <c r="P83" s="147" t="str">
        <f t="shared" si="23"/>
        <v>GF-French Guiana</v>
      </c>
      <c r="AF83" s="22"/>
      <c r="AG83" s="22"/>
      <c r="AH83" s="6"/>
      <c r="AV83" s="53"/>
      <c r="AW83" s="40"/>
      <c r="AX83" s="41"/>
      <c r="BH83" s="177" t="s">
        <v>2362</v>
      </c>
      <c r="BI83" s="177" t="s">
        <v>2363</v>
      </c>
      <c r="BJ83" s="102" t="str">
        <f t="shared" si="20"/>
        <v>Y754-The declared goods are not concerned by Council Regulation (EC) No. 765/2006, Annex XXXII</v>
      </c>
    </row>
    <row r="84" spans="2:62" ht="38.5" x14ac:dyDescent="0.35">
      <c r="B84" s="70" t="s">
        <v>133</v>
      </c>
      <c r="C84" s="70" t="s">
        <v>914</v>
      </c>
      <c r="D84" s="72" t="str">
        <f t="shared" si="21"/>
        <v>CM-Card</v>
      </c>
      <c r="F84" s="4" t="s">
        <v>459</v>
      </c>
      <c r="G84" s="4" t="s">
        <v>1413</v>
      </c>
      <c r="H84" s="4" t="str">
        <f t="shared" si="22"/>
        <v>QAR-Qatari Rial</v>
      </c>
      <c r="J84" s="127"/>
      <c r="L84" s="128"/>
      <c r="N84" s="9" t="s">
        <v>537</v>
      </c>
      <c r="O84" s="29" t="s">
        <v>538</v>
      </c>
      <c r="P84" s="147" t="str">
        <f t="shared" si="23"/>
        <v>GG-Guernsey</v>
      </c>
      <c r="AF84" s="22"/>
      <c r="AG84" s="22"/>
      <c r="AH84" s="6"/>
      <c r="AV84" s="53"/>
      <c r="AW84" s="40"/>
      <c r="AX84" s="41"/>
      <c r="BH84" s="177" t="s">
        <v>2364</v>
      </c>
      <c r="BI84" s="177" t="s">
        <v>2365</v>
      </c>
      <c r="BJ84" s="102" t="str">
        <f t="shared" si="20"/>
        <v>Y755-The prohibitions defined in article 1gd.1 of Council Regulation (EU) No 765/2006 do not apply (see contractual exemptions in article 1gd.3)</v>
      </c>
    </row>
    <row r="85" spans="2:62" ht="38.5" x14ac:dyDescent="0.35">
      <c r="B85" s="70" t="s">
        <v>134</v>
      </c>
      <c r="C85" s="70" t="s">
        <v>915</v>
      </c>
      <c r="D85" s="72" t="str">
        <f t="shared" si="21"/>
        <v>CN-Container, not otherwise specified as transport equipment</v>
      </c>
      <c r="F85" s="4" t="s">
        <v>1307</v>
      </c>
      <c r="G85" s="4" t="s">
        <v>1414</v>
      </c>
      <c r="H85" s="4" t="str">
        <f t="shared" si="22"/>
        <v>KYD-Cayman Islands Dollar</v>
      </c>
      <c r="J85" s="127"/>
      <c r="L85" s="128"/>
      <c r="N85" s="9" t="s">
        <v>539</v>
      </c>
      <c r="O85" s="29" t="s">
        <v>540</v>
      </c>
      <c r="P85" s="147" t="str">
        <f t="shared" si="23"/>
        <v>GH-Ghana</v>
      </c>
      <c r="AF85" s="22"/>
      <c r="AG85" s="22"/>
      <c r="AH85" s="6"/>
      <c r="AV85" s="53"/>
      <c r="AW85" s="40"/>
      <c r="AX85" s="41"/>
      <c r="BH85" s="177" t="s">
        <v>2366</v>
      </c>
      <c r="BI85" s="177" t="s">
        <v>2367</v>
      </c>
      <c r="BJ85" s="102" t="str">
        <f t="shared" si="20"/>
        <v>Y756-The prohibitions defined in article 1ra.1 of Council Regulation (EU) No 765/2006 do not apply (see contractual exemptions in article 1ra.9a)</v>
      </c>
    </row>
    <row r="86" spans="2:62" ht="38.5" x14ac:dyDescent="0.35">
      <c r="B86" s="70" t="s">
        <v>256</v>
      </c>
      <c r="C86" s="70" t="s">
        <v>916</v>
      </c>
      <c r="D86" s="72" t="str">
        <f t="shared" si="21"/>
        <v>CO-Carboy, non-protected</v>
      </c>
      <c r="F86" s="4" t="s">
        <v>1308</v>
      </c>
      <c r="G86" s="4" t="s">
        <v>1415</v>
      </c>
      <c r="H86" s="4" t="str">
        <f t="shared" si="22"/>
        <v>KZT-Kazakhstan Tenge</v>
      </c>
      <c r="J86" s="127"/>
      <c r="L86" s="128"/>
      <c r="N86" s="9" t="s">
        <v>541</v>
      </c>
      <c r="O86" s="29" t="s">
        <v>542</v>
      </c>
      <c r="P86" s="147" t="str">
        <f t="shared" si="23"/>
        <v>GI-Gibraltar</v>
      </c>
      <c r="AF86" s="22"/>
      <c r="AG86" s="22"/>
      <c r="AH86" s="6"/>
      <c r="AV86" s="53"/>
      <c r="AW86" s="40"/>
      <c r="AX86" s="41"/>
      <c r="BH86" s="177" t="s">
        <v>2368</v>
      </c>
      <c r="BI86" s="177" t="s">
        <v>2369</v>
      </c>
      <c r="BJ86" s="102" t="str">
        <f t="shared" si="20"/>
        <v>Y766-The prohibitions defined in article 5 paragraph 2b of Council Regulation (EU) No 2022/263 do not apply (see exemptions in article 5.6)</v>
      </c>
    </row>
    <row r="87" spans="2:62" ht="38.5" x14ac:dyDescent="0.35">
      <c r="B87" s="70" t="s">
        <v>917</v>
      </c>
      <c r="C87" s="70" t="s">
        <v>918</v>
      </c>
      <c r="D87" s="72" t="str">
        <f t="shared" si="21"/>
        <v>CP-Carboy, protected</v>
      </c>
      <c r="F87" s="4" t="s">
        <v>437</v>
      </c>
      <c r="G87" s="4" t="s">
        <v>1416</v>
      </c>
      <c r="H87" s="4" t="str">
        <f t="shared" si="22"/>
        <v>KES-Kenyan Schilling</v>
      </c>
      <c r="J87" s="127"/>
      <c r="L87" s="128"/>
      <c r="N87" s="9" t="s">
        <v>543</v>
      </c>
      <c r="O87" s="29" t="s">
        <v>544</v>
      </c>
      <c r="P87" s="147" t="str">
        <f t="shared" si="23"/>
        <v>GL-Greenland</v>
      </c>
      <c r="AF87" s="22"/>
      <c r="AG87" s="22"/>
      <c r="AH87" s="6"/>
      <c r="AV87" s="53"/>
      <c r="AW87" s="40"/>
      <c r="AX87" s="41"/>
      <c r="BH87" s="177" t="s">
        <v>2370</v>
      </c>
      <c r="BI87" s="177" t="s">
        <v>2371</v>
      </c>
      <c r="BJ87" s="102" t="str">
        <f t="shared" si="20"/>
        <v>Y767-The prohibitions defined in article 3a paragraph 1 of Council Regulation (EU) No 2022/263 do not apply (see exemptions in article 3a paragraph 2)</v>
      </c>
    </row>
    <row r="88" spans="2:62" ht="26" x14ac:dyDescent="0.35">
      <c r="B88" s="70" t="s">
        <v>919</v>
      </c>
      <c r="C88" s="70" t="s">
        <v>920</v>
      </c>
      <c r="D88" s="72" t="str">
        <f t="shared" si="21"/>
        <v>CQ-Cartridge</v>
      </c>
      <c r="F88" s="4" t="s">
        <v>1309</v>
      </c>
      <c r="G88" s="4" t="s">
        <v>1417</v>
      </c>
      <c r="H88" s="4" t="str">
        <f t="shared" si="22"/>
        <v>KGS-Som</v>
      </c>
      <c r="J88" s="127"/>
      <c r="L88" s="128"/>
      <c r="N88" s="9" t="s">
        <v>545</v>
      </c>
      <c r="O88" s="29" t="s">
        <v>546</v>
      </c>
      <c r="P88" s="147" t="str">
        <f t="shared" si="23"/>
        <v>GM-Gambia</v>
      </c>
      <c r="AF88" s="22"/>
      <c r="AG88" s="22"/>
      <c r="AH88" s="6"/>
      <c r="AV88" s="53"/>
      <c r="AW88" s="40"/>
      <c r="AX88" s="41"/>
      <c r="BH88" s="177" t="s">
        <v>2372</v>
      </c>
      <c r="BI88" s="177" t="s">
        <v>2373</v>
      </c>
      <c r="BJ88" s="102" t="str">
        <f t="shared" si="20"/>
        <v>Y784-Containers other than those falling under the import/export prohibitions defined in Regulation (EU) 2024/590</v>
      </c>
    </row>
    <row r="89" spans="2:62" ht="38.5" x14ac:dyDescent="0.35">
      <c r="B89" s="70" t="s">
        <v>482</v>
      </c>
      <c r="C89" s="70" t="s">
        <v>921</v>
      </c>
      <c r="D89" s="72" t="str">
        <f t="shared" si="21"/>
        <v>CR-Crate</v>
      </c>
      <c r="F89" s="4" t="s">
        <v>1310</v>
      </c>
      <c r="G89" s="4" t="s">
        <v>1418</v>
      </c>
      <c r="H89" s="4" t="str">
        <f t="shared" si="22"/>
        <v>COP-Colombian Peso</v>
      </c>
      <c r="J89" s="127"/>
      <c r="L89" s="128"/>
      <c r="N89" s="9" t="s">
        <v>547</v>
      </c>
      <c r="O89" s="29" t="s">
        <v>548</v>
      </c>
      <c r="P89" s="147" t="str">
        <f t="shared" si="23"/>
        <v>GN-Guinea</v>
      </c>
      <c r="AF89" s="22"/>
      <c r="AG89" s="22"/>
      <c r="AH89" s="6"/>
      <c r="AV89" s="53"/>
      <c r="AW89" s="40"/>
      <c r="AX89" s="41"/>
      <c r="BH89" s="177" t="s">
        <v>2374</v>
      </c>
      <c r="BI89" s="177" t="s">
        <v>2375</v>
      </c>
      <c r="BJ89" s="102" t="str">
        <f t="shared" si="20"/>
        <v>Y786-Exemption from prohibition for ozone-depleting substances to be used as feedstock (Articles 6 and 13.1(a) (import) and article 14.1(b) (export) of regulation (EU) 2024/590)</v>
      </c>
    </row>
    <row r="90" spans="2:62" ht="51" x14ac:dyDescent="0.35">
      <c r="B90" s="70" t="s">
        <v>922</v>
      </c>
      <c r="C90" s="70" t="s">
        <v>923</v>
      </c>
      <c r="D90" s="72" t="str">
        <f t="shared" si="21"/>
        <v>CS-Case</v>
      </c>
      <c r="F90" s="4" t="s">
        <v>438</v>
      </c>
      <c r="G90" s="4" t="s">
        <v>1419</v>
      </c>
      <c r="H90" s="4" t="str">
        <f t="shared" si="22"/>
        <v>KMF-Comoros Franc</v>
      </c>
      <c r="J90" s="127"/>
      <c r="L90" s="128"/>
      <c r="N90" s="9" t="s">
        <v>549</v>
      </c>
      <c r="O90" s="29" t="s">
        <v>550</v>
      </c>
      <c r="P90" s="147" t="str">
        <f t="shared" si="23"/>
        <v>GP-Guadeloupe</v>
      </c>
      <c r="AF90" s="22"/>
      <c r="AG90" s="22"/>
      <c r="AH90" s="6"/>
      <c r="AV90" s="53"/>
      <c r="AW90" s="40"/>
      <c r="AX90" s="41"/>
      <c r="BH90" s="177" t="s">
        <v>2376</v>
      </c>
      <c r="BI90" s="177" t="s">
        <v>2377</v>
      </c>
      <c r="BJ90" s="102" t="str">
        <f t="shared" si="20"/>
        <v>Y787-Exemption from prohibition for ozone-depleting substances to be used as process agents (Articles 7 and 13.1(b) (import) and article 14.1(c) (export) of regulation (EU) 2024/590)</v>
      </c>
    </row>
    <row r="91" spans="2:62" ht="63.5" x14ac:dyDescent="0.35">
      <c r="B91" s="70" t="s">
        <v>924</v>
      </c>
      <c r="C91" s="70" t="s">
        <v>925</v>
      </c>
      <c r="D91" s="72" t="str">
        <f t="shared" si="21"/>
        <v>CT-Carton</v>
      </c>
      <c r="F91" s="4" t="s">
        <v>1311</v>
      </c>
      <c r="G91" s="4" t="s">
        <v>1420</v>
      </c>
      <c r="H91" s="4" t="str">
        <f t="shared" si="22"/>
        <v xml:space="preserve">CDF-Franc Congolais </v>
      </c>
      <c r="J91" s="127"/>
      <c r="L91" s="128"/>
      <c r="N91" s="9" t="s">
        <v>551</v>
      </c>
      <c r="O91" s="29" t="s">
        <v>552</v>
      </c>
      <c r="P91" s="147" t="str">
        <f t="shared" si="23"/>
        <v>GQ-Equatorial Guinea</v>
      </c>
      <c r="AF91" s="22"/>
      <c r="AG91" s="22"/>
      <c r="AH91" s="6"/>
      <c r="AV91" s="53"/>
      <c r="AW91" s="40"/>
      <c r="AX91" s="41"/>
      <c r="BH91" s="177" t="s">
        <v>2378</v>
      </c>
      <c r="BI91" s="177" t="s">
        <v>2379</v>
      </c>
      <c r="BJ91" s="102" t="str">
        <f t="shared" si="20"/>
        <v>Y788-Exemption from prohibition for recovered, recycled or reclaimed halons to be used for critical uses, (see articles 9 and 13.1(g) (import) and 14.1(e) (export) of regulation (EU) 2024/590), with presentation of the required certificate (article 17.7 of regulation (EU) 2024/590)</v>
      </c>
    </row>
    <row r="92" spans="2:62" ht="51" x14ac:dyDescent="0.35">
      <c r="B92" s="70" t="s">
        <v>483</v>
      </c>
      <c r="C92" s="70" t="s">
        <v>926</v>
      </c>
      <c r="D92" s="72" t="str">
        <f t="shared" si="21"/>
        <v>CU-Cup</v>
      </c>
      <c r="F92" s="4" t="s">
        <v>477</v>
      </c>
      <c r="G92" s="4" t="s">
        <v>1421</v>
      </c>
      <c r="H92" s="4" t="str">
        <f t="shared" si="22"/>
        <v>XAF-Congo, CFA Franc BEAC</v>
      </c>
      <c r="J92" s="127"/>
      <c r="L92" s="128"/>
      <c r="N92" s="9" t="s">
        <v>553</v>
      </c>
      <c r="O92" s="29" t="s">
        <v>554</v>
      </c>
      <c r="P92" s="147" t="str">
        <f t="shared" si="23"/>
        <v>GR-Greek</v>
      </c>
      <c r="AF92" s="22"/>
      <c r="AG92" s="22"/>
      <c r="AH92" s="6"/>
      <c r="AV92" s="53"/>
      <c r="AW92" s="40"/>
      <c r="AX92" s="41"/>
      <c r="BH92" s="177" t="s">
        <v>2380</v>
      </c>
      <c r="BI92" s="177" t="s">
        <v>2381</v>
      </c>
      <c r="BJ92" s="102" t="str">
        <f t="shared" si="20"/>
        <v>Y789-Exemption from prohibition for products and equipment containing halons or whose functioning relies upon halons (see articles 13.1(h) (import) and 14.1(f) (export) of Regulation (EU) 2024/590)</v>
      </c>
    </row>
    <row r="93" spans="2:62" ht="63.5" x14ac:dyDescent="0.35">
      <c r="B93" s="70" t="s">
        <v>484</v>
      </c>
      <c r="C93" s="70" t="s">
        <v>927</v>
      </c>
      <c r="D93" s="72" t="str">
        <f t="shared" si="21"/>
        <v>CV-Cover</v>
      </c>
      <c r="F93" s="4" t="s">
        <v>440</v>
      </c>
      <c r="G93" s="4" t="s">
        <v>1422</v>
      </c>
      <c r="H93" s="4" t="str">
        <f t="shared" si="22"/>
        <v>KRW-Won</v>
      </c>
      <c r="J93" s="127"/>
      <c r="L93" s="128"/>
      <c r="N93" s="9" t="s">
        <v>555</v>
      </c>
      <c r="O93" s="29" t="s">
        <v>556</v>
      </c>
      <c r="P93" s="147" t="str">
        <f t="shared" si="23"/>
        <v>GS-S Georgia S Sandwich Is</v>
      </c>
      <c r="AF93" s="22"/>
      <c r="AG93" s="22"/>
      <c r="AH93" s="6"/>
      <c r="AV93" s="53"/>
      <c r="AW93" s="40"/>
      <c r="AX93" s="41"/>
      <c r="BH93" s="177" t="s">
        <v>2382</v>
      </c>
      <c r="BI93" s="177" t="s">
        <v>2383</v>
      </c>
      <c r="BJ93" s="102" t="str">
        <f t="shared" si="20"/>
        <v>Y790-Exemption from prohibition for ozone-depleting substances destined to destruction or reclamation (see articles 12, 13.1(d), 13.1(e) (import) of Regulation (EU) 2024/590), and for products and equipment (see articles 12, 13.1(i) (import) of Regulation (EU) 2024/590)</v>
      </c>
    </row>
    <row r="94" spans="2:62" ht="76" x14ac:dyDescent="0.35">
      <c r="B94" s="70" t="s">
        <v>928</v>
      </c>
      <c r="C94" s="70" t="s">
        <v>929</v>
      </c>
      <c r="D94" s="72" t="str">
        <f t="shared" si="21"/>
        <v>CW-Cage, roll</v>
      </c>
      <c r="F94" s="4" t="s">
        <v>1312</v>
      </c>
      <c r="G94" s="4" t="s">
        <v>1423</v>
      </c>
      <c r="H94" s="4" t="str">
        <f t="shared" si="22"/>
        <v>CRC-Costa Rican Colon</v>
      </c>
      <c r="J94" s="127"/>
      <c r="L94" s="128"/>
      <c r="N94" s="9" t="s">
        <v>557</v>
      </c>
      <c r="O94" s="29" t="s">
        <v>558</v>
      </c>
      <c r="P94" s="147" t="str">
        <f t="shared" si="23"/>
        <v>GT-Guatemala</v>
      </c>
      <c r="AF94" s="22"/>
      <c r="AG94" s="22"/>
      <c r="AH94" s="6"/>
      <c r="AV94" s="53"/>
      <c r="AW94" s="41"/>
      <c r="AX94" s="41"/>
      <c r="BH94" s="177" t="s">
        <v>2384</v>
      </c>
      <c r="BI94" s="177" t="s">
        <v>2385</v>
      </c>
      <c r="BJ94" s="102" t="str">
        <f t="shared" si="20"/>
        <v>Y791-Exemption from prohibition for ozone-depleting substances to be used for essential laboratory and analytical uses (articles 8, 13.1(c) (import) and article 14.1(a) (export) of regulation (EU) 2024/590), and for products and equipment (articles 11.1 and 13.1(j) (import) and 14.1(g) (export) of regulation (EU) 2024/590)</v>
      </c>
    </row>
    <row r="95" spans="2:62" ht="26" x14ac:dyDescent="0.35">
      <c r="B95" s="70" t="s">
        <v>485</v>
      </c>
      <c r="C95" s="70" t="s">
        <v>930</v>
      </c>
      <c r="D95" s="72" t="str">
        <f t="shared" ref="D95:D158" si="24">CONCATENATE(B95,"-",C95)</f>
        <v>CX-Can, cylindrical</v>
      </c>
      <c r="F95" s="4" t="s">
        <v>441</v>
      </c>
      <c r="G95" s="4" t="s">
        <v>1424</v>
      </c>
      <c r="H95" s="4" t="str">
        <f t="shared" si="22"/>
        <v>KWD-Kuwaiti Dinar</v>
      </c>
      <c r="J95" s="127"/>
      <c r="L95" s="128"/>
      <c r="N95" s="9" t="s">
        <v>559</v>
      </c>
      <c r="O95" s="29" t="s">
        <v>560</v>
      </c>
      <c r="P95" s="147" t="str">
        <f t="shared" si="23"/>
        <v>GU-Guam</v>
      </c>
      <c r="AF95" s="22"/>
      <c r="AG95" s="22"/>
      <c r="AH95" s="6"/>
      <c r="AV95" s="53"/>
      <c r="AW95" s="40"/>
      <c r="AX95" s="41"/>
      <c r="BH95" s="177" t="s">
        <v>2302</v>
      </c>
      <c r="BI95" s="177" t="s">
        <v>2303</v>
      </c>
      <c r="BJ95" s="102" t="str">
        <f t="shared" si="20"/>
        <v>Y792-Substances, products, equipment, other than those falling within the scope of Regulation (EU) 2024/590</v>
      </c>
    </row>
    <row r="96" spans="2:62" ht="51" x14ac:dyDescent="0.35">
      <c r="B96" s="70" t="s">
        <v>486</v>
      </c>
      <c r="C96" s="70" t="s">
        <v>931</v>
      </c>
      <c r="D96" s="72" t="str">
        <f t="shared" si="24"/>
        <v>CY-Cylinder</v>
      </c>
      <c r="F96" s="4" t="s">
        <v>439</v>
      </c>
      <c r="G96" s="4" t="s">
        <v>1425</v>
      </c>
      <c r="H96" s="4" t="str">
        <f t="shared" si="22"/>
        <v>KPW-North Korean Won</v>
      </c>
      <c r="J96" s="127"/>
      <c r="L96" s="128"/>
      <c r="N96" s="9" t="s">
        <v>561</v>
      </c>
      <c r="O96" s="29" t="s">
        <v>562</v>
      </c>
      <c r="P96" s="147" t="str">
        <f t="shared" si="23"/>
        <v>GW-Guinea-Bissau</v>
      </c>
      <c r="AF96" s="22"/>
      <c r="AG96" s="22"/>
      <c r="AH96" s="6"/>
      <c r="AV96" s="53"/>
      <c r="AW96" s="40"/>
      <c r="AX96" s="41"/>
      <c r="BH96" s="177" t="s">
        <v>2386</v>
      </c>
      <c r="BI96" s="177" t="s">
        <v>2387</v>
      </c>
      <c r="BJ96" s="102" t="str">
        <f t="shared" si="20"/>
        <v>Y793-Products and equipment containing ozone-depleting substances or whose functioning relies upon those substances, imported/exported as personal effects (Article 5(2) Regulation (EU) 2024/590)</v>
      </c>
    </row>
    <row r="97" spans="2:62" ht="26" x14ac:dyDescent="0.35">
      <c r="B97" s="70" t="s">
        <v>487</v>
      </c>
      <c r="C97" s="70" t="s">
        <v>932</v>
      </c>
      <c r="D97" s="72" t="str">
        <f t="shared" si="24"/>
        <v>CZ-Canvas</v>
      </c>
      <c r="F97" s="4" t="s">
        <v>1313</v>
      </c>
      <c r="G97" s="4" t="s">
        <v>1426</v>
      </c>
      <c r="H97" s="4" t="str">
        <f t="shared" si="22"/>
        <v>CUC-Cuban Peso Convertible </v>
      </c>
      <c r="J97" s="127"/>
      <c r="L97" s="128"/>
      <c r="N97" s="9" t="s">
        <v>563</v>
      </c>
      <c r="O97" s="29" t="s">
        <v>564</v>
      </c>
      <c r="P97" s="147" t="str">
        <f t="shared" si="23"/>
        <v>GY-Guyana</v>
      </c>
      <c r="AF97" s="22"/>
      <c r="AG97" s="22"/>
      <c r="AH97" s="6"/>
      <c r="AV97" s="53"/>
      <c r="AW97" s="40"/>
      <c r="AX97" s="41"/>
      <c r="BH97" s="177" t="s">
        <v>2388</v>
      </c>
      <c r="BI97" s="177" t="s">
        <v>2389</v>
      </c>
      <c r="BJ97" s="102" t="str">
        <f t="shared" si="20"/>
        <v>Y797-Licensing system registration identification number as defined in Article 17.3 (a) of Regulation (EU) 2024/590</v>
      </c>
    </row>
    <row r="98" spans="2:62" ht="26" x14ac:dyDescent="0.35">
      <c r="B98" s="70" t="s">
        <v>933</v>
      </c>
      <c r="C98" s="70" t="s">
        <v>934</v>
      </c>
      <c r="D98" s="72" t="str">
        <f t="shared" si="24"/>
        <v>DA-Crate, multiple layer, plastic</v>
      </c>
      <c r="F98" s="4" t="s">
        <v>1314</v>
      </c>
      <c r="G98" s="4" t="s">
        <v>1427</v>
      </c>
      <c r="H98" s="4" t="str">
        <f t="shared" si="22"/>
        <v>CUP-Cuban Peso</v>
      </c>
      <c r="J98" s="127"/>
      <c r="L98" s="128"/>
      <c r="N98" s="9" t="s">
        <v>565</v>
      </c>
      <c r="O98" s="29" t="s">
        <v>566</v>
      </c>
      <c r="P98" s="147" t="str">
        <f t="shared" si="23"/>
        <v>HK-Hong Kong</v>
      </c>
      <c r="AF98" s="22"/>
      <c r="AG98" s="22"/>
      <c r="AH98" s="6"/>
      <c r="AV98" s="53"/>
      <c r="AW98" s="40"/>
      <c r="AX98" s="41"/>
      <c r="BH98" s="177" t="s">
        <v>2390</v>
      </c>
      <c r="BI98" s="177" t="s">
        <v>2391</v>
      </c>
      <c r="BJ98" s="102" t="str">
        <f t="shared" si="20"/>
        <v>Y798-Declaration of net mass of ozone-depleting substance(s), when included in products and equipment</v>
      </c>
    </row>
    <row r="99" spans="2:62" ht="38.5" x14ac:dyDescent="0.35">
      <c r="B99" s="70" t="s">
        <v>935</v>
      </c>
      <c r="C99" s="70" t="s">
        <v>936</v>
      </c>
      <c r="D99" s="72" t="str">
        <f t="shared" si="24"/>
        <v>DB-Crate, multiple layer, wooden</v>
      </c>
      <c r="F99" s="4" t="s">
        <v>1315</v>
      </c>
      <c r="G99" s="4" t="s">
        <v>1428</v>
      </c>
      <c r="H99" s="4" t="str">
        <f t="shared" si="22"/>
        <v>LAK-Lao Kip</v>
      </c>
      <c r="J99" s="127"/>
      <c r="L99" s="128"/>
      <c r="N99" s="9" t="s">
        <v>567</v>
      </c>
      <c r="O99" s="29" t="s">
        <v>568</v>
      </c>
      <c r="P99" s="147" t="str">
        <f t="shared" si="23"/>
        <v>HM-Heard Island and McDonald Islands</v>
      </c>
      <c r="AF99" s="22"/>
      <c r="AG99" s="22"/>
      <c r="AH99" s="6"/>
      <c r="AV99" s="53"/>
      <c r="AW99" s="43"/>
      <c r="AX99" s="41"/>
      <c r="BH99" s="177" t="s">
        <v>2392</v>
      </c>
      <c r="BI99" s="177" t="s">
        <v>2393</v>
      </c>
      <c r="BJ99" s="102" t="str">
        <f t="shared" si="20"/>
        <v>Y799-Net mass of the ozone-depleting substance multiplied by the ODP of the ozone-depleting substance(s), also when included in products and equipment</v>
      </c>
    </row>
    <row r="100" spans="2:62" ht="38.5" x14ac:dyDescent="0.35">
      <c r="B100" s="70" t="s">
        <v>937</v>
      </c>
      <c r="C100" s="70" t="s">
        <v>938</v>
      </c>
      <c r="D100" s="72" t="str">
        <f t="shared" si="24"/>
        <v>DC-Crate, multiple layer, cardboard</v>
      </c>
      <c r="F100" s="4" t="s">
        <v>445</v>
      </c>
      <c r="G100" s="4" t="s">
        <v>1429</v>
      </c>
      <c r="H100" s="4" t="str">
        <f t="shared" si="22"/>
        <v>LSL-Lesotho Loti</v>
      </c>
      <c r="J100" s="127"/>
      <c r="L100" s="128"/>
      <c r="N100" s="9" t="s">
        <v>569</v>
      </c>
      <c r="O100" s="29" t="s">
        <v>570</v>
      </c>
      <c r="P100" s="147" t="str">
        <f t="shared" si="23"/>
        <v>HN-Honduras</v>
      </c>
      <c r="AF100" s="22"/>
      <c r="AG100" s="22"/>
      <c r="AH100" s="6"/>
      <c r="AV100" s="53"/>
      <c r="AW100" s="44"/>
      <c r="AX100" s="41"/>
      <c r="BH100" s="177" t="s">
        <v>2394</v>
      </c>
      <c r="BI100" s="177" t="s">
        <v>2395</v>
      </c>
      <c r="BJ100" s="102" t="str">
        <f t="shared" si="20"/>
        <v>Y871-The prohibitions defined in article 2c of Council Regulation (EU) No 692/2014 do not apply (see exemptions in article 2c paragraph 6)</v>
      </c>
    </row>
    <row r="101" spans="2:62" ht="29" x14ac:dyDescent="0.35">
      <c r="B101" s="70" t="s">
        <v>939</v>
      </c>
      <c r="C101" s="70" t="s">
        <v>940</v>
      </c>
      <c r="D101" s="72" t="str">
        <f t="shared" si="24"/>
        <v>DG-Cage, Commonwealth Handling Equipment Pool (CHEP)</v>
      </c>
      <c r="F101" s="4" t="s">
        <v>1316</v>
      </c>
      <c r="G101" s="4" t="s">
        <v>1430</v>
      </c>
      <c r="H101" s="4" t="str">
        <f t="shared" si="22"/>
        <v>LVL-Latvian Lats</v>
      </c>
      <c r="J101" s="127"/>
      <c r="L101" s="128"/>
      <c r="N101" s="9" t="s">
        <v>571</v>
      </c>
      <c r="O101" s="29" t="s">
        <v>572</v>
      </c>
      <c r="P101" s="147" t="str">
        <f t="shared" si="23"/>
        <v>HR-Croatia</v>
      </c>
      <c r="AF101" s="22"/>
      <c r="AG101" s="22"/>
      <c r="AH101" s="6"/>
      <c r="AV101" s="53"/>
      <c r="AW101" s="44"/>
      <c r="AX101" s="41"/>
      <c r="BH101" s="177" t="s">
        <v>2396</v>
      </c>
      <c r="BI101" s="177" t="s">
        <v>2397</v>
      </c>
      <c r="BJ101" s="102" t="str">
        <f t="shared" si="20"/>
        <v>Y873-Goods not transited via the territory of Russia</v>
      </c>
    </row>
    <row r="102" spans="2:62" ht="38.5" x14ac:dyDescent="0.35">
      <c r="B102" s="70" t="s">
        <v>941</v>
      </c>
      <c r="C102" s="70" t="s">
        <v>942</v>
      </c>
      <c r="D102" s="72" t="str">
        <f t="shared" si="24"/>
        <v>DH-Box, Commonwealth Handling Equipment Pool (CHEP), Eurobox</v>
      </c>
      <c r="F102" s="4" t="s">
        <v>444</v>
      </c>
      <c r="G102" s="4" t="s">
        <v>1431</v>
      </c>
      <c r="H102" s="4" t="str">
        <f t="shared" si="22"/>
        <v>LRD-Liberian Dollar</v>
      </c>
      <c r="J102" s="127"/>
      <c r="L102" s="128"/>
      <c r="N102" s="9" t="s">
        <v>573</v>
      </c>
      <c r="O102" s="29" t="s">
        <v>574</v>
      </c>
      <c r="P102" s="147" t="str">
        <f t="shared" si="23"/>
        <v>HT-Haiti</v>
      </c>
      <c r="AF102" s="22"/>
      <c r="AG102" s="22"/>
      <c r="AH102" s="6"/>
      <c r="AV102" s="53"/>
      <c r="AW102" s="40"/>
      <c r="AX102" s="41"/>
      <c r="BH102" s="177" t="s">
        <v>2398</v>
      </c>
      <c r="BI102" s="177" t="s">
        <v>2399</v>
      </c>
      <c r="BJ102" s="102" t="str">
        <f t="shared" si="20"/>
        <v>Y881-The prohibitions defined in article 2aa paragraph 1 of Council Regulation (EU) No 692/2014 do not apply (see exemptions in article 2aa paragraph 2)</v>
      </c>
    </row>
    <row r="103" spans="2:62" ht="14.5" x14ac:dyDescent="0.35">
      <c r="B103" s="70" t="s">
        <v>943</v>
      </c>
      <c r="C103" s="70" t="s">
        <v>944</v>
      </c>
      <c r="D103" s="72" t="str">
        <f t="shared" si="24"/>
        <v>DI-Drum, iron</v>
      </c>
      <c r="F103" s="4" t="s">
        <v>446</v>
      </c>
      <c r="G103" s="4" t="s">
        <v>1432</v>
      </c>
      <c r="H103" s="4" t="str">
        <f t="shared" si="22"/>
        <v>LYD-Libyan Dinar</v>
      </c>
      <c r="J103" s="127"/>
      <c r="L103" s="128"/>
      <c r="N103" s="9" t="s">
        <v>575</v>
      </c>
      <c r="O103" s="29" t="s">
        <v>576</v>
      </c>
      <c r="P103" s="147" t="str">
        <f t="shared" si="23"/>
        <v>HU-Hungarian</v>
      </c>
      <c r="AF103" s="22"/>
      <c r="AG103" s="22"/>
      <c r="AH103" s="6"/>
      <c r="AV103" s="53"/>
      <c r="AW103" s="40"/>
      <c r="AX103" s="41"/>
      <c r="BH103" s="177" t="s">
        <v>2400</v>
      </c>
      <c r="BI103" s="177" t="s">
        <v>2401</v>
      </c>
      <c r="BJ103" s="102" t="str">
        <f t="shared" si="20"/>
        <v>Y883-Goods not concerned by Regulation (EU) 692/2014</v>
      </c>
    </row>
    <row r="104" spans="2:62" ht="14.5" x14ac:dyDescent="0.35">
      <c r="B104" s="70" t="s">
        <v>491</v>
      </c>
      <c r="C104" s="70" t="s">
        <v>945</v>
      </c>
      <c r="D104" s="72" t="str">
        <f t="shared" si="24"/>
        <v>DJ-Demijohn, non-protected</v>
      </c>
      <c r="F104" s="4" t="s">
        <v>313</v>
      </c>
      <c r="G104" s="4" t="s">
        <v>1433</v>
      </c>
      <c r="H104" s="4" t="str">
        <f t="shared" si="22"/>
        <v>LTL-Lithuanian Litus</v>
      </c>
      <c r="J104" s="127"/>
      <c r="L104" s="128"/>
      <c r="N104" s="9" t="s">
        <v>577</v>
      </c>
      <c r="O104" s="29" t="s">
        <v>578</v>
      </c>
      <c r="P104" s="147" t="str">
        <f t="shared" si="23"/>
        <v>ID-Indonesia</v>
      </c>
      <c r="AF104" s="22"/>
      <c r="AG104" s="22"/>
      <c r="AH104" s="6"/>
      <c r="AV104" s="53"/>
      <c r="AW104" s="40"/>
      <c r="AX104" s="41"/>
      <c r="BH104" s="177" t="s">
        <v>2402</v>
      </c>
      <c r="BI104" s="177" t="s">
        <v>2403</v>
      </c>
      <c r="BJ104" s="102" t="str">
        <f t="shared" si="20"/>
        <v>Y885-Goods not concerned by Regulation (EU) 2022/263</v>
      </c>
    </row>
    <row r="105" spans="2:62" ht="26" x14ac:dyDescent="0.35">
      <c r="B105" s="70" t="s">
        <v>493</v>
      </c>
      <c r="C105" s="70" t="s">
        <v>946</v>
      </c>
      <c r="D105" s="72" t="str">
        <f t="shared" si="24"/>
        <v>DK-Crate, bulk, cardboard</v>
      </c>
      <c r="F105" s="4" t="s">
        <v>442</v>
      </c>
      <c r="G105" s="4" t="s">
        <v>1434</v>
      </c>
      <c r="H105" s="4" t="str">
        <f t="shared" si="22"/>
        <v>LBP-Lebanese Pound</v>
      </c>
      <c r="N105" s="9" t="s">
        <v>579</v>
      </c>
      <c r="O105" s="29" t="s">
        <v>580</v>
      </c>
      <c r="P105" s="147" t="str">
        <f t="shared" si="23"/>
        <v>IE-Irish</v>
      </c>
      <c r="Q105"/>
      <c r="AF105" s="22"/>
      <c r="AG105" s="22"/>
      <c r="AH105" s="6"/>
      <c r="AV105" s="53"/>
      <c r="AW105" s="40"/>
      <c r="AX105" s="41"/>
      <c r="BH105" s="177" t="s">
        <v>2404</v>
      </c>
      <c r="BI105" s="177" t="s">
        <v>2405</v>
      </c>
      <c r="BJ105" s="102" t="str">
        <f t="shared" si="20"/>
        <v>Y897-Goods not containing gold originating in Russia listed in Annex XXVI to Regulation No 833/2014</v>
      </c>
    </row>
    <row r="106" spans="2:62" ht="26" x14ac:dyDescent="0.35">
      <c r="B106" s="70" t="s">
        <v>947</v>
      </c>
      <c r="C106" s="70" t="s">
        <v>948</v>
      </c>
      <c r="D106" s="72" t="str">
        <f t="shared" si="24"/>
        <v>DL-Crate, bulk, plastic</v>
      </c>
      <c r="F106" s="4" t="s">
        <v>213</v>
      </c>
      <c r="G106" s="4" t="s">
        <v>1435</v>
      </c>
      <c r="H106" s="4" t="str">
        <f t="shared" si="22"/>
        <v>HUF-Hungarian Forint</v>
      </c>
      <c r="N106" s="9" t="s">
        <v>581</v>
      </c>
      <c r="O106" s="29" t="s">
        <v>582</v>
      </c>
      <c r="P106" s="147" t="str">
        <f t="shared" si="23"/>
        <v>IL-Israel</v>
      </c>
      <c r="Q106"/>
      <c r="W106"/>
      <c r="X106"/>
      <c r="AF106" s="22"/>
      <c r="AG106" s="22"/>
      <c r="AH106" s="6"/>
      <c r="AV106" s="53"/>
      <c r="AW106" s="45"/>
      <c r="AX106" s="41"/>
      <c r="BH106" s="192" t="s">
        <v>2406</v>
      </c>
      <c r="BI106" s="192" t="s">
        <v>2407</v>
      </c>
      <c r="BJ106" s="193" t="str">
        <f t="shared" si="20"/>
        <v>Y935-Goods not covered by the provisions of Regulation (EU) 1332/2013 (OJ L 335)</v>
      </c>
    </row>
    <row r="107" spans="2:62" ht="15.5" x14ac:dyDescent="0.35">
      <c r="B107" s="70" t="s">
        <v>495</v>
      </c>
      <c r="C107" s="70" t="s">
        <v>949</v>
      </c>
      <c r="D107" s="72" t="str">
        <f t="shared" si="24"/>
        <v>DM-Crate, bulk, wooden</v>
      </c>
      <c r="F107" s="4" t="s">
        <v>1317</v>
      </c>
      <c r="G107" s="4" t="s">
        <v>1436</v>
      </c>
      <c r="H107" s="4" t="str">
        <f t="shared" si="22"/>
        <v>MGA-Malagasy Ariary </v>
      </c>
      <c r="N107" s="9" t="s">
        <v>257</v>
      </c>
      <c r="O107" s="29" t="s">
        <v>583</v>
      </c>
      <c r="P107" s="147" t="str">
        <f t="shared" si="23"/>
        <v>IM-Isle of Man</v>
      </c>
      <c r="Q107"/>
      <c r="W107"/>
      <c r="X107"/>
      <c r="AF107" s="22"/>
      <c r="AG107" s="22"/>
      <c r="AH107" s="6"/>
      <c r="AV107" s="53"/>
      <c r="AW107" s="45"/>
      <c r="AX107" s="41"/>
    </row>
    <row r="108" spans="2:62" ht="15.5" x14ac:dyDescent="0.35">
      <c r="B108" s="70" t="s">
        <v>950</v>
      </c>
      <c r="C108" s="70" t="s">
        <v>951</v>
      </c>
      <c r="D108" s="72" t="str">
        <f t="shared" si="24"/>
        <v>DN-Dispenser</v>
      </c>
      <c r="F108" s="4" t="s">
        <v>449</v>
      </c>
      <c r="G108" s="4" t="s">
        <v>1437</v>
      </c>
      <c r="H108" s="4" t="str">
        <f t="shared" si="22"/>
        <v>MOP-Macau Pataca</v>
      </c>
      <c r="N108" s="9" t="s">
        <v>584</v>
      </c>
      <c r="O108" s="29" t="s">
        <v>585</v>
      </c>
      <c r="P108" s="147" t="str">
        <f t="shared" si="23"/>
        <v>IN-India</v>
      </c>
      <c r="Q108"/>
      <c r="W108"/>
      <c r="X108"/>
      <c r="AF108" s="22"/>
      <c r="AG108" s="22"/>
      <c r="AH108" s="6"/>
      <c r="AV108" s="53"/>
      <c r="AW108" s="44"/>
      <c r="AX108" s="41"/>
    </row>
    <row r="109" spans="2:62" ht="14.5" x14ac:dyDescent="0.35">
      <c r="B109" s="70" t="s">
        <v>952</v>
      </c>
      <c r="C109" s="70" t="s">
        <v>953</v>
      </c>
      <c r="D109" s="72" t="str">
        <f t="shared" si="24"/>
        <v>DP-Demijohn, protected</v>
      </c>
      <c r="F109" s="4" t="s">
        <v>214</v>
      </c>
      <c r="G109" s="4" t="s">
        <v>1438</v>
      </c>
      <c r="H109" s="4" t="str">
        <f t="shared" si="22"/>
        <v>MKD-Denar</v>
      </c>
      <c r="N109" s="9" t="s">
        <v>586</v>
      </c>
      <c r="O109" s="29" t="s">
        <v>587</v>
      </c>
      <c r="P109" s="147" t="str">
        <f t="shared" si="23"/>
        <v>IO-British Indian Oc Terr</v>
      </c>
      <c r="Q109"/>
      <c r="W109"/>
      <c r="X109"/>
      <c r="AF109" s="22"/>
      <c r="AG109" s="22"/>
      <c r="AH109" s="6"/>
      <c r="AV109" s="53"/>
      <c r="AW109" s="40"/>
      <c r="AX109" s="41"/>
    </row>
    <row r="110" spans="2:62" ht="14.5" x14ac:dyDescent="0.35">
      <c r="B110" s="70" t="s">
        <v>954</v>
      </c>
      <c r="C110" s="70" t="s">
        <v>955</v>
      </c>
      <c r="D110" s="72" t="str">
        <f t="shared" si="24"/>
        <v>DR-Drum</v>
      </c>
      <c r="F110" s="4" t="s">
        <v>1318</v>
      </c>
      <c r="G110" s="4" t="s">
        <v>1439</v>
      </c>
      <c r="H110" s="4" t="str">
        <f t="shared" si="22"/>
        <v>MWK-Malawi Kwacha</v>
      </c>
      <c r="N110" s="9" t="s">
        <v>588</v>
      </c>
      <c r="O110" s="29" t="s">
        <v>589</v>
      </c>
      <c r="P110" s="147" t="str">
        <f t="shared" si="23"/>
        <v>IQ-Iraq</v>
      </c>
      <c r="Q110"/>
      <c r="W110"/>
      <c r="X110"/>
      <c r="AF110" s="22"/>
      <c r="AG110" s="22"/>
      <c r="AH110" s="6"/>
      <c r="AV110" s="53"/>
      <c r="AW110" s="40"/>
      <c r="AX110" s="41"/>
    </row>
    <row r="111" spans="2:62" ht="14.5" x14ac:dyDescent="0.35">
      <c r="B111" s="70" t="s">
        <v>956</v>
      </c>
      <c r="C111" s="70" t="s">
        <v>957</v>
      </c>
      <c r="D111" s="72" t="str">
        <f t="shared" si="24"/>
        <v>DS-Tray, one layer no cover, plastic</v>
      </c>
      <c r="F111" s="4" t="s">
        <v>1319</v>
      </c>
      <c r="G111" s="4" t="s">
        <v>1440</v>
      </c>
      <c r="H111" s="4" t="str">
        <f t="shared" si="22"/>
        <v>MVR-Maldive Rufiyaa</v>
      </c>
      <c r="N111" s="9" t="s">
        <v>590</v>
      </c>
      <c r="O111" s="29" t="s">
        <v>591</v>
      </c>
      <c r="P111" s="147" t="str">
        <f t="shared" si="23"/>
        <v>IR-Iran</v>
      </c>
      <c r="Q111"/>
      <c r="W111"/>
      <c r="X111"/>
      <c r="AF111" s="22"/>
      <c r="AG111" s="22"/>
      <c r="AH111" s="6"/>
      <c r="AV111" s="53"/>
      <c r="AW111" s="40"/>
      <c r="AX111" s="41"/>
    </row>
    <row r="112" spans="2:62" ht="14.5" x14ac:dyDescent="0.35">
      <c r="B112" s="70" t="s">
        <v>958</v>
      </c>
      <c r="C112" s="70" t="s">
        <v>959</v>
      </c>
      <c r="D112" s="72" t="str">
        <f t="shared" si="24"/>
        <v>DT-Bandeja, de madera, de un nivel, sin tapa</v>
      </c>
      <c r="F112" s="4" t="s">
        <v>452</v>
      </c>
      <c r="G112" s="4" t="s">
        <v>1441</v>
      </c>
      <c r="H112" s="4" t="str">
        <f t="shared" si="22"/>
        <v>MYR-Malaysian Ringgit</v>
      </c>
      <c r="N112" s="9" t="s">
        <v>592</v>
      </c>
      <c r="O112" s="29" t="s">
        <v>593</v>
      </c>
      <c r="P112" s="147" t="str">
        <f t="shared" si="23"/>
        <v>IS-Icelandic</v>
      </c>
      <c r="Q112"/>
      <c r="W112"/>
      <c r="X112"/>
      <c r="AF112" s="22"/>
      <c r="AG112" s="22"/>
      <c r="AH112" s="6"/>
      <c r="AV112" s="53"/>
      <c r="AW112" s="40"/>
      <c r="AX112" s="41"/>
    </row>
    <row r="113" spans="2:50" ht="29" x14ac:dyDescent="0.35">
      <c r="B113" s="70" t="s">
        <v>960</v>
      </c>
      <c r="C113" s="70" t="s">
        <v>961</v>
      </c>
      <c r="D113" s="72" t="str">
        <f t="shared" si="24"/>
        <v>DU-Bandeja, de poliestireno, de un nivel, sin tapa</v>
      </c>
      <c r="F113" s="4" t="s">
        <v>478</v>
      </c>
      <c r="G113" s="4" t="s">
        <v>1442</v>
      </c>
      <c r="H113" s="4" t="str">
        <f t="shared" si="22"/>
        <v>XOF-Mali, CFA Franc BCEAO</v>
      </c>
      <c r="N113" s="9" t="s">
        <v>594</v>
      </c>
      <c r="O113" s="29" t="s">
        <v>595</v>
      </c>
      <c r="P113" s="147" t="str">
        <f t="shared" si="23"/>
        <v>IT-Italian</v>
      </c>
      <c r="Q113"/>
      <c r="W113"/>
      <c r="X113"/>
      <c r="AF113" s="23"/>
      <c r="AG113" s="22"/>
      <c r="AH113" s="6"/>
      <c r="AV113" s="53"/>
      <c r="AW113" s="40"/>
      <c r="AX113" s="41"/>
    </row>
    <row r="114" spans="2:50" ht="14.5" x14ac:dyDescent="0.35">
      <c r="B114" s="70" t="s">
        <v>962</v>
      </c>
      <c r="C114" s="70" t="s">
        <v>963</v>
      </c>
      <c r="D114" s="72" t="str">
        <f t="shared" si="24"/>
        <v>DV-Tray, one layer no cover, cardboard</v>
      </c>
      <c r="F114" s="4" t="s">
        <v>451</v>
      </c>
      <c r="G114" s="4" t="s">
        <v>1443</v>
      </c>
      <c r="H114" s="4" t="str">
        <f t="shared" si="22"/>
        <v>MUR-Mauritius Rupee</v>
      </c>
      <c r="N114" s="9" t="s">
        <v>596</v>
      </c>
      <c r="O114" s="29" t="s">
        <v>597</v>
      </c>
      <c r="P114" s="147" t="str">
        <f t="shared" si="23"/>
        <v>JE-Jersey</v>
      </c>
      <c r="Q114"/>
      <c r="W114"/>
      <c r="X114"/>
      <c r="AF114" s="22"/>
      <c r="AG114" s="22"/>
      <c r="AH114" s="6"/>
      <c r="AV114" s="53"/>
      <c r="AW114" s="40"/>
      <c r="AX114" s="41"/>
    </row>
    <row r="115" spans="2:50" ht="29" x14ac:dyDescent="0.35">
      <c r="B115" s="70" t="s">
        <v>964</v>
      </c>
      <c r="C115" s="70" t="s">
        <v>965</v>
      </c>
      <c r="D115" s="72" t="str">
        <f t="shared" si="24"/>
        <v>DW-Bandeja, de plástico, de dos niveles, sin tapa</v>
      </c>
      <c r="F115" s="4" t="s">
        <v>1320</v>
      </c>
      <c r="G115" s="4" t="s">
        <v>1444</v>
      </c>
      <c r="H115" s="4" t="str">
        <f t="shared" si="22"/>
        <v>MXN-Mexican Peso</v>
      </c>
      <c r="N115" s="9" t="s">
        <v>598</v>
      </c>
      <c r="O115" s="29" t="s">
        <v>599</v>
      </c>
      <c r="P115" s="147" t="str">
        <f t="shared" si="23"/>
        <v>JM-Jamaica</v>
      </c>
      <c r="Q115"/>
      <c r="W115"/>
      <c r="X115"/>
      <c r="AF115" s="22"/>
      <c r="AG115" s="22"/>
      <c r="AH115" s="6"/>
      <c r="AV115" s="53"/>
      <c r="AW115" s="40"/>
      <c r="AX115" s="41"/>
    </row>
    <row r="116" spans="2:50" ht="14.5" x14ac:dyDescent="0.35">
      <c r="B116" s="70" t="s">
        <v>966</v>
      </c>
      <c r="C116" s="70" t="s">
        <v>967</v>
      </c>
      <c r="D116" s="72" t="str">
        <f t="shared" si="24"/>
        <v>DX-Tray, two layers no cover, wooden</v>
      </c>
      <c r="F116" s="4" t="s">
        <v>329</v>
      </c>
      <c r="G116" s="4" t="s">
        <v>1445</v>
      </c>
      <c r="H116" s="4" t="str">
        <f t="shared" si="22"/>
        <v>EGP-Egyptian Pound</v>
      </c>
      <c r="N116" s="9" t="s">
        <v>600</v>
      </c>
      <c r="O116" s="29" t="s">
        <v>601</v>
      </c>
      <c r="P116" s="147" t="str">
        <f t="shared" si="23"/>
        <v>JO-Jordan</v>
      </c>
      <c r="Q116"/>
      <c r="W116"/>
      <c r="X116"/>
      <c r="AF116" s="22"/>
      <c r="AG116" s="22"/>
      <c r="AH116" s="6"/>
      <c r="AV116" s="53"/>
      <c r="AW116" s="40"/>
      <c r="AX116" s="41"/>
    </row>
    <row r="117" spans="2:50" ht="14.5" x14ac:dyDescent="0.35">
      <c r="B117" s="70" t="s">
        <v>968</v>
      </c>
      <c r="C117" s="70" t="s">
        <v>969</v>
      </c>
      <c r="D117" s="72" t="str">
        <f t="shared" si="24"/>
        <v>DY-Tray, two layers no cover, cardboard</v>
      </c>
      <c r="F117" s="4" t="s">
        <v>1321</v>
      </c>
      <c r="G117" s="4" t="s">
        <v>1446</v>
      </c>
      <c r="H117" s="4" t="str">
        <f t="shared" si="22"/>
        <v>MNT-Mongolian Tugrik</v>
      </c>
      <c r="N117" s="9" t="s">
        <v>602</v>
      </c>
      <c r="O117" s="29" t="s">
        <v>603</v>
      </c>
      <c r="P117" s="147" t="str">
        <f t="shared" si="23"/>
        <v>JP-Japan</v>
      </c>
      <c r="Q117"/>
      <c r="W117"/>
      <c r="X117"/>
      <c r="AF117" s="22"/>
      <c r="AG117" s="22"/>
      <c r="AH117" s="6"/>
      <c r="AV117" s="53"/>
      <c r="AW117" s="40"/>
      <c r="AX117" s="41"/>
    </row>
    <row r="118" spans="2:50" ht="14.5" x14ac:dyDescent="0.35">
      <c r="B118" s="70" t="s">
        <v>501</v>
      </c>
      <c r="C118" s="70" t="s">
        <v>970</v>
      </c>
      <c r="D118" s="72" t="str">
        <f t="shared" si="24"/>
        <v>EC-Bag, plastic</v>
      </c>
      <c r="F118" s="4" t="s">
        <v>447</v>
      </c>
      <c r="G118" s="4" t="s">
        <v>1447</v>
      </c>
      <c r="H118" s="4" t="str">
        <f t="shared" si="22"/>
        <v>MDL-Moldovan Leu</v>
      </c>
      <c r="N118" s="9" t="s">
        <v>604</v>
      </c>
      <c r="O118" s="29" t="s">
        <v>605</v>
      </c>
      <c r="P118" s="147" t="str">
        <f t="shared" si="23"/>
        <v>KE-Kenya</v>
      </c>
      <c r="Q118"/>
      <c r="W118"/>
      <c r="X118"/>
      <c r="AF118" s="22"/>
      <c r="AG118" s="22"/>
      <c r="AH118" s="6"/>
      <c r="AV118" s="53"/>
      <c r="AW118" s="40"/>
      <c r="AX118" s="41"/>
    </row>
    <row r="119" spans="2:50" ht="14.5" x14ac:dyDescent="0.35">
      <c r="B119" s="70" t="s">
        <v>971</v>
      </c>
      <c r="C119" s="70" t="s">
        <v>972</v>
      </c>
      <c r="D119" s="72" t="str">
        <f t="shared" si="24"/>
        <v>ED-Case, with pallet base</v>
      </c>
      <c r="F119" s="4" t="s">
        <v>1283</v>
      </c>
      <c r="G119" s="4" t="s">
        <v>1353</v>
      </c>
      <c r="H119" s="4" t="str">
        <f t="shared" si="22"/>
        <v>XCD-East Carribbean Dollar</v>
      </c>
      <c r="N119" s="9" t="s">
        <v>606</v>
      </c>
      <c r="O119" s="29" t="s">
        <v>607</v>
      </c>
      <c r="P119" s="147" t="str">
        <f t="shared" si="23"/>
        <v>KG-Kyrgyzstan</v>
      </c>
      <c r="Q119"/>
      <c r="W119"/>
      <c r="X119"/>
      <c r="AF119" s="22"/>
      <c r="AG119" s="22"/>
      <c r="AH119" s="6"/>
      <c r="AV119" s="53"/>
      <c r="AW119" s="40"/>
      <c r="AX119" s="41"/>
    </row>
    <row r="120" spans="2:50" ht="14.5" x14ac:dyDescent="0.35">
      <c r="B120" s="70" t="s">
        <v>503</v>
      </c>
      <c r="C120" s="70" t="s">
        <v>973</v>
      </c>
      <c r="D120" s="72" t="str">
        <f t="shared" si="24"/>
        <v>EE-Case, with pallet base, wooden</v>
      </c>
      <c r="F120" s="4" t="s">
        <v>450</v>
      </c>
      <c r="G120" s="4" t="s">
        <v>1448</v>
      </c>
      <c r="H120" s="4" t="str">
        <f t="shared" si="22"/>
        <v>MRO-Mauritanian Ouguiya</v>
      </c>
      <c r="N120" s="9" t="s">
        <v>608</v>
      </c>
      <c r="O120" s="29" t="s">
        <v>609</v>
      </c>
      <c r="P120" s="147" t="str">
        <f t="shared" si="23"/>
        <v>KH-Cambodia</v>
      </c>
      <c r="Q120"/>
      <c r="W120"/>
      <c r="X120"/>
      <c r="AF120" s="22"/>
      <c r="AG120" s="22"/>
      <c r="AH120" s="6"/>
      <c r="AV120" s="53"/>
      <c r="AW120" s="40"/>
      <c r="AX120" s="41"/>
    </row>
    <row r="121" spans="2:50" ht="14.5" x14ac:dyDescent="0.35">
      <c r="B121" s="70" t="s">
        <v>974</v>
      </c>
      <c r="C121" s="70" t="s">
        <v>975</v>
      </c>
      <c r="D121" s="72" t="str">
        <f t="shared" si="24"/>
        <v>EF-Case, with pallet base, cardboard</v>
      </c>
      <c r="F121" s="4" t="s">
        <v>1322</v>
      </c>
      <c r="G121" s="4" t="s">
        <v>1449</v>
      </c>
      <c r="H121" s="4" t="str">
        <f t="shared" si="22"/>
        <v>MZN-Mozambique Metical</v>
      </c>
      <c r="N121" s="9" t="s">
        <v>610</v>
      </c>
      <c r="O121" s="29" t="s">
        <v>611</v>
      </c>
      <c r="P121" s="147" t="str">
        <f t="shared" si="23"/>
        <v>KI-Kiribati</v>
      </c>
      <c r="Q121"/>
      <c r="W121"/>
      <c r="X121"/>
      <c r="AF121" s="22"/>
      <c r="AG121" s="22"/>
      <c r="AH121" s="6"/>
      <c r="AV121" s="53"/>
      <c r="AW121" s="40"/>
      <c r="AX121" s="41"/>
    </row>
    <row r="122" spans="2:50" ht="14.5" x14ac:dyDescent="0.35">
      <c r="B122" s="70" t="s">
        <v>505</v>
      </c>
      <c r="C122" s="70" t="s">
        <v>976</v>
      </c>
      <c r="D122" s="72" t="str">
        <f t="shared" si="24"/>
        <v>EG-Case, with pallet base, plastic</v>
      </c>
      <c r="F122" s="4" t="s">
        <v>448</v>
      </c>
      <c r="G122" s="4" t="s">
        <v>1450</v>
      </c>
      <c r="H122" s="4" t="str">
        <f t="shared" si="22"/>
        <v>MMK-Myanmar Kyat</v>
      </c>
      <c r="N122" s="9" t="s">
        <v>612</v>
      </c>
      <c r="O122" s="29" t="s">
        <v>613</v>
      </c>
      <c r="P122" s="147" t="str">
        <f t="shared" si="23"/>
        <v>KM-Comoros</v>
      </c>
      <c r="Q122"/>
      <c r="W122"/>
      <c r="X122"/>
      <c r="AF122" s="22"/>
      <c r="AG122" s="22"/>
      <c r="AH122" s="6"/>
      <c r="AV122" s="53"/>
      <c r="AW122" s="40"/>
      <c r="AX122" s="41"/>
    </row>
    <row r="123" spans="2:50" ht="14.5" x14ac:dyDescent="0.35">
      <c r="B123" s="70" t="s">
        <v>507</v>
      </c>
      <c r="C123" s="70" t="s">
        <v>977</v>
      </c>
      <c r="D123" s="72" t="str">
        <f t="shared" si="24"/>
        <v>EH-Case, with pallet base, metal</v>
      </c>
      <c r="F123" s="4" t="s">
        <v>453</v>
      </c>
      <c r="G123" s="4" t="s">
        <v>1451</v>
      </c>
      <c r="H123" s="4" t="str">
        <f t="shared" si="22"/>
        <v>NAD-Namibian Dollar</v>
      </c>
      <c r="N123" s="9" t="s">
        <v>614</v>
      </c>
      <c r="O123" s="29" t="s">
        <v>615</v>
      </c>
      <c r="P123" s="147" t="str">
        <f t="shared" si="23"/>
        <v>KN-Saint Kitts and Nevis</v>
      </c>
      <c r="Q123"/>
      <c r="W123"/>
      <c r="X123"/>
      <c r="AF123" s="22"/>
      <c r="AG123" s="22"/>
      <c r="AH123" s="6"/>
      <c r="AV123" s="53"/>
      <c r="AW123" s="40"/>
      <c r="AX123" s="41"/>
    </row>
    <row r="124" spans="2:50" ht="14.5" x14ac:dyDescent="0.35">
      <c r="B124" s="70" t="s">
        <v>978</v>
      </c>
      <c r="C124" s="70" t="s">
        <v>979</v>
      </c>
      <c r="D124" s="72" t="str">
        <f t="shared" si="24"/>
        <v>EI-Case, isothermic</v>
      </c>
      <c r="F124" s="4" t="s">
        <v>481</v>
      </c>
      <c r="G124" s="4" t="s">
        <v>1452</v>
      </c>
      <c r="H124" s="4" t="str">
        <f t="shared" si="22"/>
        <v>ZAR-Namibia Rand</v>
      </c>
      <c r="N124" s="9" t="s">
        <v>616</v>
      </c>
      <c r="O124" s="29" t="s">
        <v>617</v>
      </c>
      <c r="P124" s="147" t="str">
        <f t="shared" si="23"/>
        <v>KP-North Korea</v>
      </c>
      <c r="Q124"/>
      <c r="W124"/>
      <c r="X124"/>
      <c r="AF124" s="22"/>
      <c r="AG124" s="22"/>
      <c r="AH124" s="6"/>
      <c r="AV124" s="53"/>
      <c r="AW124" s="40"/>
      <c r="AX124" s="41"/>
    </row>
    <row r="125" spans="2:50" ht="14.5" x14ac:dyDescent="0.35">
      <c r="B125" s="70" t="s">
        <v>980</v>
      </c>
      <c r="C125" s="70" t="s">
        <v>981</v>
      </c>
      <c r="D125" s="72" t="str">
        <f t="shared" si="24"/>
        <v>EN-Envelope</v>
      </c>
      <c r="F125" s="4" t="s">
        <v>1323</v>
      </c>
      <c r="G125" s="4" t="s">
        <v>1453</v>
      </c>
      <c r="H125" s="4" t="str">
        <f t="shared" si="22"/>
        <v>NPR-Nepalese Rupee</v>
      </c>
      <c r="N125" s="9" t="s">
        <v>618</v>
      </c>
      <c r="O125" s="29" t="s">
        <v>619</v>
      </c>
      <c r="P125" s="147" t="str">
        <f t="shared" si="23"/>
        <v>KR-Korea, Republic of</v>
      </c>
      <c r="Q125"/>
      <c r="W125"/>
      <c r="X125"/>
      <c r="AF125" s="22"/>
      <c r="AG125" s="22"/>
      <c r="AH125" s="6"/>
      <c r="AV125" s="53"/>
      <c r="AW125" s="40"/>
      <c r="AX125" s="41"/>
    </row>
    <row r="126" spans="2:50" ht="14.5" x14ac:dyDescent="0.35">
      <c r="B126" s="70" t="s">
        <v>982</v>
      </c>
      <c r="C126" s="70" t="s">
        <v>983</v>
      </c>
      <c r="D126" s="72" t="str">
        <f t="shared" si="24"/>
        <v>FB-Bolsa flexible para contenedor(flexibag)</v>
      </c>
      <c r="F126" s="4" t="s">
        <v>478</v>
      </c>
      <c r="G126" s="4" t="s">
        <v>1454</v>
      </c>
      <c r="H126" s="4" t="str">
        <f t="shared" si="22"/>
        <v>XOF-Niger, CFA Franc BCEAO</v>
      </c>
      <c r="N126" s="9" t="s">
        <v>620</v>
      </c>
      <c r="O126" s="29" t="s">
        <v>621</v>
      </c>
      <c r="P126" s="147" t="str">
        <f t="shared" si="23"/>
        <v>KW-Kuwait</v>
      </c>
      <c r="Q126"/>
      <c r="W126"/>
      <c r="X126"/>
      <c r="AF126" s="22"/>
      <c r="AG126" s="22"/>
      <c r="AH126" s="6"/>
      <c r="AV126" s="53"/>
      <c r="AW126" s="40"/>
      <c r="AX126" s="41"/>
    </row>
    <row r="127" spans="2:50" ht="14.5" x14ac:dyDescent="0.35">
      <c r="B127" s="70" t="s">
        <v>984</v>
      </c>
      <c r="C127" s="70" t="s">
        <v>985</v>
      </c>
      <c r="D127" s="72" t="str">
        <f t="shared" si="24"/>
        <v>FC-Fruit crate</v>
      </c>
      <c r="F127" s="4" t="s">
        <v>1324</v>
      </c>
      <c r="G127" s="4" t="s">
        <v>1455</v>
      </c>
      <c r="H127" s="4" t="str">
        <f t="shared" si="22"/>
        <v>NGN-Nigerian Naira</v>
      </c>
      <c r="N127" s="9" t="s">
        <v>622</v>
      </c>
      <c r="O127" s="29" t="s">
        <v>623</v>
      </c>
      <c r="P127" s="147" t="str">
        <f t="shared" si="23"/>
        <v>KY-Cayman Is</v>
      </c>
      <c r="Q127"/>
      <c r="W127"/>
      <c r="X127"/>
      <c r="AF127" s="22"/>
      <c r="AG127" s="22"/>
      <c r="AH127" s="6"/>
      <c r="AV127" s="53"/>
      <c r="AW127" s="40"/>
      <c r="AX127" s="41"/>
    </row>
    <row r="128" spans="2:50" ht="14.5" x14ac:dyDescent="0.35">
      <c r="B128" s="70" t="s">
        <v>986</v>
      </c>
      <c r="C128" s="70" t="s">
        <v>987</v>
      </c>
      <c r="D128" s="72" t="str">
        <f t="shared" si="24"/>
        <v>FD-Framed crate</v>
      </c>
      <c r="F128" s="4" t="s">
        <v>1325</v>
      </c>
      <c r="G128" s="4" t="s">
        <v>1456</v>
      </c>
      <c r="H128" s="4" t="str">
        <f t="shared" si="22"/>
        <v>NIO-Nicaraguan Cordoba Oro</v>
      </c>
      <c r="N128" s="9" t="s">
        <v>624</v>
      </c>
      <c r="O128" s="29" t="s">
        <v>625</v>
      </c>
      <c r="P128" s="147" t="str">
        <f t="shared" si="23"/>
        <v>KZ-Kazakhstan</v>
      </c>
      <c r="Q128"/>
      <c r="W128"/>
      <c r="X128"/>
      <c r="AF128" s="22"/>
      <c r="AG128" s="22"/>
      <c r="AH128" s="6"/>
      <c r="AV128" s="53"/>
      <c r="AW128" s="40"/>
      <c r="AX128" s="41"/>
    </row>
    <row r="129" spans="2:50" ht="14.5" x14ac:dyDescent="0.35">
      <c r="B129" s="70" t="s">
        <v>988</v>
      </c>
      <c r="C129" s="70" t="s">
        <v>989</v>
      </c>
      <c r="D129" s="72" t="str">
        <f t="shared" si="24"/>
        <v>FE-Tanque flexible para contenedor(flexitank)</v>
      </c>
      <c r="F129" s="4" t="s">
        <v>454</v>
      </c>
      <c r="G129" s="4" t="s">
        <v>1457</v>
      </c>
      <c r="H129" s="4" t="str">
        <f t="shared" si="22"/>
        <v>NOK-Norwegian Kroner</v>
      </c>
      <c r="N129" s="9" t="s">
        <v>626</v>
      </c>
      <c r="O129" s="29" t="s">
        <v>627</v>
      </c>
      <c r="P129" s="147" t="str">
        <f t="shared" si="23"/>
        <v>LA-Lao</v>
      </c>
      <c r="Q129"/>
      <c r="W129"/>
      <c r="X129"/>
      <c r="AF129" s="22"/>
      <c r="AG129" s="22"/>
      <c r="AH129" s="6"/>
      <c r="AV129" s="53"/>
      <c r="AW129" s="40"/>
      <c r="AX129" s="41"/>
    </row>
    <row r="130" spans="2:50" ht="29" x14ac:dyDescent="0.35">
      <c r="B130" s="70" t="s">
        <v>515</v>
      </c>
      <c r="C130" s="70" t="s">
        <v>990</v>
      </c>
      <c r="D130" s="72" t="str">
        <f t="shared" si="24"/>
        <v>FI-Firkin</v>
      </c>
      <c r="F130" s="4" t="s">
        <v>477</v>
      </c>
      <c r="G130" s="4" t="s">
        <v>1458</v>
      </c>
      <c r="H130" s="4" t="str">
        <f t="shared" ref="H130:H188" si="25">CONCATENATE(F130,"-",G130)</f>
        <v>XAF-Central African Republic, CFA Franc BEAC</v>
      </c>
      <c r="N130" s="9" t="s">
        <v>628</v>
      </c>
      <c r="O130" s="29" t="s">
        <v>629</v>
      </c>
      <c r="P130" s="147" t="str">
        <f t="shared" si="23"/>
        <v>LB-Lebanon</v>
      </c>
      <c r="Q130"/>
      <c r="W130"/>
      <c r="X130"/>
      <c r="AF130" s="22"/>
      <c r="AG130" s="22"/>
      <c r="AH130" s="6"/>
      <c r="AV130" s="53"/>
      <c r="AW130" s="40"/>
      <c r="AX130" s="41"/>
    </row>
    <row r="131" spans="2:50" ht="14.5" x14ac:dyDescent="0.35">
      <c r="B131" s="70" t="s">
        <v>991</v>
      </c>
      <c r="C131" s="70" t="s">
        <v>992</v>
      </c>
      <c r="D131" s="72" t="str">
        <f t="shared" si="24"/>
        <v>FL-Flask</v>
      </c>
      <c r="F131" s="4" t="s">
        <v>474</v>
      </c>
      <c r="G131" s="4" t="s">
        <v>1459</v>
      </c>
      <c r="H131" s="4" t="str">
        <f t="shared" si="25"/>
        <v>UZS-Uzbekistan Sum</v>
      </c>
      <c r="N131" s="9" t="s">
        <v>630</v>
      </c>
      <c r="O131" s="29" t="s">
        <v>631</v>
      </c>
      <c r="P131" s="147" t="str">
        <f t="shared" si="23"/>
        <v>LC-Saint Lucia</v>
      </c>
      <c r="Q131"/>
      <c r="W131"/>
      <c r="X131"/>
      <c r="AF131" s="22"/>
      <c r="AG131" s="22"/>
      <c r="AH131" s="6"/>
      <c r="AV131" s="53"/>
      <c r="AW131" s="40"/>
      <c r="AX131" s="41"/>
    </row>
    <row r="132" spans="2:50" ht="14.5" x14ac:dyDescent="0.35">
      <c r="B132" s="70" t="s">
        <v>523</v>
      </c>
      <c r="C132" s="70" t="s">
        <v>993</v>
      </c>
      <c r="D132" s="72" t="str">
        <f t="shared" si="24"/>
        <v>FO-Footlocker</v>
      </c>
      <c r="F132" s="4" t="s">
        <v>458</v>
      </c>
      <c r="G132" s="4" t="s">
        <v>1460</v>
      </c>
      <c r="H132" s="4" t="str">
        <f t="shared" si="25"/>
        <v>PKR-Pakistan Rupee</v>
      </c>
      <c r="N132" s="9" t="s">
        <v>632</v>
      </c>
      <c r="O132" s="29" t="s">
        <v>633</v>
      </c>
      <c r="P132" s="147" t="str">
        <f t="shared" si="23"/>
        <v>LI-Liechtenstein</v>
      </c>
      <c r="Q132"/>
      <c r="W132"/>
      <c r="X132"/>
      <c r="AF132" s="22"/>
      <c r="AG132" s="22"/>
      <c r="AH132" s="6"/>
      <c r="AV132" s="53"/>
      <c r="AW132" s="40"/>
      <c r="AX132" s="41"/>
    </row>
    <row r="133" spans="2:50" ht="14.5" x14ac:dyDescent="0.35">
      <c r="B133" s="70" t="s">
        <v>994</v>
      </c>
      <c r="C133" s="70" t="s">
        <v>995</v>
      </c>
      <c r="D133" s="72" t="str">
        <f t="shared" si="24"/>
        <v>FP-Filmpack</v>
      </c>
      <c r="F133" s="4" t="s">
        <v>1326</v>
      </c>
      <c r="G133" s="4" t="s">
        <v>1461</v>
      </c>
      <c r="H133" s="4" t="str">
        <f t="shared" si="25"/>
        <v>XPD-Palladium (oz.)</v>
      </c>
      <c r="N133" s="9" t="s">
        <v>634</v>
      </c>
      <c r="O133" s="29" t="s">
        <v>635</v>
      </c>
      <c r="P133" s="147" t="str">
        <f t="shared" ref="P133:P196" si="26">CONCATENATE(N133,"-",O133)</f>
        <v>LK-Sri Lanka</v>
      </c>
      <c r="Q133"/>
      <c r="W133"/>
      <c r="X133"/>
      <c r="AF133" s="22"/>
      <c r="AG133" s="22"/>
      <c r="AH133" s="6"/>
      <c r="AV133" s="53"/>
      <c r="AW133" s="40"/>
      <c r="AX133" s="41"/>
    </row>
    <row r="134" spans="2:50" ht="14.5" x14ac:dyDescent="0.35">
      <c r="B134" s="70" t="s">
        <v>525</v>
      </c>
      <c r="C134" s="70" t="s">
        <v>996</v>
      </c>
      <c r="D134" s="72" t="str">
        <f t="shared" si="24"/>
        <v>FR-Frame</v>
      </c>
      <c r="F134" s="4" t="s">
        <v>1327</v>
      </c>
      <c r="G134" s="4" t="s">
        <v>1462</v>
      </c>
      <c r="H134" s="4" t="str">
        <f t="shared" si="25"/>
        <v>PAB-Panamanian Balboa</v>
      </c>
      <c r="N134" s="9" t="s">
        <v>636</v>
      </c>
      <c r="O134" s="29" t="s">
        <v>637</v>
      </c>
      <c r="P134" s="147" t="str">
        <f t="shared" si="26"/>
        <v>LR-Liberia</v>
      </c>
      <c r="Q134"/>
      <c r="W134"/>
      <c r="X134"/>
      <c r="AF134" s="22"/>
      <c r="AG134" s="22"/>
      <c r="AH134" s="6"/>
      <c r="AV134" s="53"/>
      <c r="AW134" s="40"/>
      <c r="AX134" s="41"/>
    </row>
    <row r="135" spans="2:50" ht="14.5" x14ac:dyDescent="0.35">
      <c r="B135" s="70" t="s">
        <v>997</v>
      </c>
      <c r="C135" s="70" t="s">
        <v>998</v>
      </c>
      <c r="D135" s="72" t="str">
        <f t="shared" si="24"/>
        <v>FT-Foodtainer</v>
      </c>
      <c r="F135" s="4" t="s">
        <v>457</v>
      </c>
      <c r="G135" s="4" t="s">
        <v>1463</v>
      </c>
      <c r="H135" s="4" t="str">
        <f t="shared" si="25"/>
        <v>PGK-Papua New Guinea Kina</v>
      </c>
      <c r="N135" s="9" t="s">
        <v>638</v>
      </c>
      <c r="O135" s="29" t="s">
        <v>639</v>
      </c>
      <c r="P135" s="147" t="str">
        <f t="shared" si="26"/>
        <v>LS-Lesotho</v>
      </c>
      <c r="Q135"/>
      <c r="W135"/>
      <c r="X135"/>
      <c r="AF135" s="22"/>
      <c r="AG135" s="22"/>
      <c r="AH135" s="6"/>
      <c r="AV135" s="53"/>
      <c r="AW135" s="40"/>
      <c r="AX135" s="41"/>
    </row>
    <row r="136" spans="2:50" ht="14.5" x14ac:dyDescent="0.35">
      <c r="B136" s="70" t="s">
        <v>999</v>
      </c>
      <c r="C136" s="70" t="s">
        <v>1000</v>
      </c>
      <c r="D136" s="72" t="str">
        <f t="shared" si="24"/>
        <v>FW-Carreta, de plataforma</v>
      </c>
      <c r="F136" s="4" t="s">
        <v>1328</v>
      </c>
      <c r="G136" s="4" t="s">
        <v>1464</v>
      </c>
      <c r="H136" s="4" t="str">
        <f t="shared" si="25"/>
        <v>PYG-Paraguay Guarani</v>
      </c>
      <c r="N136" s="9" t="s">
        <v>640</v>
      </c>
      <c r="O136" s="29" t="s">
        <v>641</v>
      </c>
      <c r="P136" s="147" t="str">
        <f t="shared" si="26"/>
        <v>LT-Lithuanian</v>
      </c>
      <c r="Q136"/>
      <c r="W136"/>
      <c r="X136"/>
      <c r="AF136" s="22"/>
      <c r="AG136" s="22"/>
      <c r="AH136" s="6"/>
      <c r="AV136" s="53"/>
      <c r="AW136" s="40"/>
      <c r="AX136" s="41"/>
    </row>
    <row r="137" spans="2:50" ht="14.5" x14ac:dyDescent="0.35">
      <c r="B137" s="70" t="s">
        <v>1001</v>
      </c>
      <c r="C137" s="70" t="s">
        <v>1002</v>
      </c>
      <c r="D137" s="72" t="str">
        <f t="shared" si="24"/>
        <v>FX-Bag, flexible container</v>
      </c>
      <c r="F137" s="4" t="s">
        <v>1329</v>
      </c>
      <c r="G137" s="4" t="s">
        <v>1465</v>
      </c>
      <c r="H137" s="4" t="str">
        <f t="shared" si="25"/>
        <v>PEN-Peruvian Nuevo Sol</v>
      </c>
      <c r="N137" s="9" t="s">
        <v>642</v>
      </c>
      <c r="O137" s="29" t="s">
        <v>643</v>
      </c>
      <c r="P137" s="147" t="str">
        <f t="shared" si="26"/>
        <v>LU-Luxembourg</v>
      </c>
      <c r="Q137"/>
      <c r="W137"/>
      <c r="X137"/>
      <c r="AF137" s="22"/>
      <c r="AG137" s="22"/>
      <c r="AH137" s="6"/>
      <c r="AV137" s="53"/>
      <c r="AW137" s="40"/>
      <c r="AX137" s="41"/>
    </row>
    <row r="138" spans="2:50" ht="14.5" x14ac:dyDescent="0.35">
      <c r="B138" s="70" t="s">
        <v>529</v>
      </c>
      <c r="C138" s="70" t="s">
        <v>1003</v>
      </c>
      <c r="D138" s="72" t="str">
        <f t="shared" si="24"/>
        <v>GB-Gas bottle</v>
      </c>
      <c r="F138" s="4" t="s">
        <v>1330</v>
      </c>
      <c r="G138" s="4" t="s">
        <v>1466</v>
      </c>
      <c r="H138" s="4" t="str">
        <f t="shared" si="25"/>
        <v>XPT-Platinum (oz.)</v>
      </c>
      <c r="N138" s="9" t="s">
        <v>644</v>
      </c>
      <c r="O138" s="29" t="s">
        <v>645</v>
      </c>
      <c r="P138" s="147" t="str">
        <f t="shared" si="26"/>
        <v>LV-Latvian</v>
      </c>
      <c r="Q138"/>
      <c r="W138"/>
      <c r="X138"/>
      <c r="AF138" s="22"/>
      <c r="AG138" s="22"/>
      <c r="AH138" s="6"/>
      <c r="AV138" s="53"/>
      <c r="AW138" s="40"/>
      <c r="AX138" s="41"/>
    </row>
    <row r="139" spans="2:50" ht="14.5" x14ac:dyDescent="0.35">
      <c r="B139" s="70" t="s">
        <v>541</v>
      </c>
      <c r="C139" s="70" t="s">
        <v>1004</v>
      </c>
      <c r="D139" s="72" t="str">
        <f t="shared" si="24"/>
        <v>GI-Girder</v>
      </c>
      <c r="F139" s="4" t="s">
        <v>215</v>
      </c>
      <c r="G139" s="4" t="s">
        <v>1467</v>
      </c>
      <c r="H139" s="4" t="str">
        <f t="shared" si="25"/>
        <v>PLN-Zloty</v>
      </c>
      <c r="N139" s="9" t="s">
        <v>646</v>
      </c>
      <c r="O139" s="29" t="s">
        <v>647</v>
      </c>
      <c r="P139" s="147" t="str">
        <f t="shared" si="26"/>
        <v>LY-Libyan Arab Jamahiriya</v>
      </c>
      <c r="Q139"/>
      <c r="W139"/>
      <c r="X139"/>
      <c r="AF139" s="22"/>
      <c r="AG139" s="22"/>
      <c r="AH139" s="6"/>
      <c r="AV139" s="53"/>
      <c r="AW139" s="40"/>
      <c r="AX139" s="41"/>
    </row>
    <row r="140" spans="2:50" ht="14.5" x14ac:dyDescent="0.35">
      <c r="B140" s="70" t="s">
        <v>543</v>
      </c>
      <c r="C140" s="70" t="s">
        <v>1005</v>
      </c>
      <c r="D140" s="72" t="str">
        <f t="shared" si="24"/>
        <v>GL-Contenedor de un galón</v>
      </c>
      <c r="F140" s="4" t="s">
        <v>1331</v>
      </c>
      <c r="G140" s="4" t="s">
        <v>1468</v>
      </c>
      <c r="H140" s="4" t="str">
        <f t="shared" si="25"/>
        <v>RWF-Rwanda Franc</v>
      </c>
      <c r="N140" s="9" t="s">
        <v>648</v>
      </c>
      <c r="O140" s="29" t="s">
        <v>649</v>
      </c>
      <c r="P140" s="147" t="str">
        <f t="shared" si="26"/>
        <v>MA-Morocco</v>
      </c>
      <c r="Q140"/>
      <c r="W140"/>
      <c r="X140"/>
      <c r="AF140" s="22"/>
      <c r="AG140" s="22"/>
      <c r="AH140" s="6"/>
      <c r="AV140" s="53"/>
      <c r="AW140" s="40"/>
      <c r="AX140" s="41"/>
    </row>
    <row r="141" spans="2:50" ht="14.5" x14ac:dyDescent="0.35">
      <c r="B141" s="70" t="s">
        <v>553</v>
      </c>
      <c r="C141" s="70" t="s">
        <v>1006</v>
      </c>
      <c r="D141" s="72" t="str">
        <f t="shared" si="24"/>
        <v>GR-Receptacle, glass</v>
      </c>
      <c r="F141" s="4" t="s">
        <v>218</v>
      </c>
      <c r="G141" s="4" t="s">
        <v>1469</v>
      </c>
      <c r="H141" s="4" t="str">
        <f t="shared" si="25"/>
        <v>RUB-Russian Rouble</v>
      </c>
      <c r="N141" s="9" t="s">
        <v>650</v>
      </c>
      <c r="O141" s="29" t="s">
        <v>651</v>
      </c>
      <c r="P141" s="147" t="str">
        <f t="shared" si="26"/>
        <v>MC-Monaco</v>
      </c>
      <c r="Q141"/>
      <c r="W141"/>
      <c r="X141"/>
      <c r="AF141" s="22"/>
      <c r="AG141" s="22"/>
      <c r="AH141" s="6"/>
      <c r="AV141" s="53"/>
      <c r="AW141" s="40"/>
      <c r="AX141" s="41"/>
    </row>
    <row r="142" spans="2:50" ht="29" x14ac:dyDescent="0.35">
      <c r="B142" s="70" t="s">
        <v>559</v>
      </c>
      <c r="C142" s="70" t="s">
        <v>1007</v>
      </c>
      <c r="D142" s="72" t="str">
        <f t="shared" si="24"/>
        <v>GU-Bandeja contenedora conartículos planos apilados</v>
      </c>
      <c r="F142" s="4" t="s">
        <v>476</v>
      </c>
      <c r="G142" s="4" t="s">
        <v>1470</v>
      </c>
      <c r="H142" s="4" t="str">
        <f t="shared" si="25"/>
        <v>WST-Samoan Tala</v>
      </c>
      <c r="N142" s="9" t="s">
        <v>652</v>
      </c>
      <c r="O142" s="29" t="s">
        <v>653</v>
      </c>
      <c r="P142" s="147" t="str">
        <f t="shared" si="26"/>
        <v>MD-Moldova, Republic of</v>
      </c>
      <c r="Q142"/>
      <c r="W142"/>
      <c r="X142"/>
      <c r="AF142" s="22"/>
      <c r="AG142" s="22"/>
      <c r="AH142" s="6"/>
      <c r="AV142" s="53"/>
      <c r="AW142" s="40"/>
      <c r="AX142" s="41"/>
    </row>
    <row r="143" spans="2:50" ht="29" x14ac:dyDescent="0.35">
      <c r="B143" s="70" t="s">
        <v>563</v>
      </c>
      <c r="C143" s="70" t="s">
        <v>1008</v>
      </c>
      <c r="D143" s="72" t="str">
        <f t="shared" si="24"/>
        <v>GY-Saco de yute o arpillera</v>
      </c>
      <c r="F143" s="4" t="s">
        <v>1332</v>
      </c>
      <c r="G143" s="4" t="s">
        <v>1471</v>
      </c>
      <c r="H143" s="4" t="str">
        <f t="shared" si="25"/>
        <v>STD-Sao Tome and Principe Dobra</v>
      </c>
      <c r="N143" s="9" t="s">
        <v>654</v>
      </c>
      <c r="O143" s="29" t="s">
        <v>655</v>
      </c>
      <c r="P143" s="147" t="str">
        <f t="shared" si="26"/>
        <v>ME-Montenegro</v>
      </c>
      <c r="Q143"/>
      <c r="W143"/>
      <c r="X143"/>
      <c r="AF143" s="22"/>
      <c r="AG143" s="22"/>
      <c r="AH143" s="6"/>
      <c r="AV143" s="53"/>
      <c r="AW143" s="40"/>
      <c r="AX143" s="41"/>
    </row>
    <row r="144" spans="2:50" ht="14.5" x14ac:dyDescent="0.35">
      <c r="B144" s="70" t="s">
        <v>1009</v>
      </c>
      <c r="C144" s="70" t="s">
        <v>1010</v>
      </c>
      <c r="D144" s="72" t="str">
        <f t="shared" si="24"/>
        <v>GZ-Girders, in bundle/bunch/truss</v>
      </c>
      <c r="F144" s="4" t="s">
        <v>478</v>
      </c>
      <c r="G144" s="4" t="s">
        <v>1472</v>
      </c>
      <c r="H144" s="4" t="str">
        <f t="shared" si="25"/>
        <v>XOF-Senegal, CFA Franc BCEAO</v>
      </c>
      <c r="N144" s="9" t="s">
        <v>656</v>
      </c>
      <c r="O144" s="29" t="s">
        <v>657</v>
      </c>
      <c r="P144" s="147" t="str">
        <f t="shared" si="26"/>
        <v>MF-Saint Martin (French part)</v>
      </c>
      <c r="Q144"/>
      <c r="W144"/>
      <c r="X144"/>
      <c r="AF144" s="22"/>
      <c r="AG144" s="22"/>
      <c r="AH144" s="6"/>
      <c r="AV144" s="53"/>
      <c r="AW144" s="40"/>
      <c r="AX144" s="41"/>
    </row>
    <row r="145" spans="2:50" ht="14.5" x14ac:dyDescent="0.35">
      <c r="B145" s="70" t="s">
        <v>1011</v>
      </c>
      <c r="C145" s="70" t="s">
        <v>1012</v>
      </c>
      <c r="D145" s="72" t="str">
        <f t="shared" si="24"/>
        <v>HA-Basket, with handle, plastic</v>
      </c>
      <c r="F145" s="4" t="s">
        <v>462</v>
      </c>
      <c r="G145" s="4" t="s">
        <v>1473</v>
      </c>
      <c r="H145" s="4" t="str">
        <f t="shared" si="25"/>
        <v>SCR-Seychelles Rupee</v>
      </c>
      <c r="N145" s="9" t="s">
        <v>658</v>
      </c>
      <c r="O145" s="29" t="s">
        <v>659</v>
      </c>
      <c r="P145" s="147" t="str">
        <f t="shared" si="26"/>
        <v>MG-Madagascar</v>
      </c>
      <c r="Q145"/>
      <c r="W145"/>
      <c r="X145"/>
      <c r="AF145" s="22"/>
      <c r="AG145" s="22"/>
      <c r="AH145" s="6"/>
      <c r="AV145" s="53"/>
      <c r="AW145" s="40"/>
      <c r="AX145" s="41"/>
    </row>
    <row r="146" spans="2:50" ht="14.5" x14ac:dyDescent="0.35">
      <c r="B146" s="70" t="s">
        <v>1013</v>
      </c>
      <c r="C146" s="70" t="s">
        <v>1014</v>
      </c>
      <c r="D146" s="72" t="str">
        <f t="shared" si="24"/>
        <v>HB-Basket, with handle, wooden</v>
      </c>
      <c r="F146" s="4" t="s">
        <v>217</v>
      </c>
      <c r="G146" s="4" t="s">
        <v>1474</v>
      </c>
      <c r="H146" s="4" t="str">
        <f t="shared" si="25"/>
        <v>RSD-Serbian Dinar </v>
      </c>
      <c r="N146" s="9" t="s">
        <v>660</v>
      </c>
      <c r="O146" s="29" t="s">
        <v>661</v>
      </c>
      <c r="P146" s="147" t="str">
        <f t="shared" si="26"/>
        <v>MH-Marshall Is</v>
      </c>
      <c r="Q146"/>
      <c r="W146"/>
      <c r="X146"/>
      <c r="AF146" s="22"/>
      <c r="AG146" s="22"/>
      <c r="AH146" s="6"/>
      <c r="AV146" s="53"/>
      <c r="AW146" s="40"/>
      <c r="AX146" s="41"/>
    </row>
    <row r="147" spans="2:50" ht="14.5" x14ac:dyDescent="0.35">
      <c r="B147" s="70" t="s">
        <v>1015</v>
      </c>
      <c r="C147" s="70" t="s">
        <v>1016</v>
      </c>
      <c r="D147" s="72" t="str">
        <f t="shared" si="24"/>
        <v>HC-Basket, with handle, cardboard</v>
      </c>
      <c r="F147" s="4" t="s">
        <v>1333</v>
      </c>
      <c r="G147" s="4" t="s">
        <v>1475</v>
      </c>
      <c r="H147" s="4" t="str">
        <f t="shared" si="25"/>
        <v>SLL-Sierra Leone Leone</v>
      </c>
      <c r="N147" s="9" t="s">
        <v>662</v>
      </c>
      <c r="O147" s="29" t="s">
        <v>663</v>
      </c>
      <c r="P147" s="147" t="str">
        <f t="shared" si="26"/>
        <v>MK-Macedonia</v>
      </c>
      <c r="Q147"/>
      <c r="W147"/>
      <c r="X147"/>
      <c r="AF147" s="22"/>
      <c r="AG147" s="22"/>
      <c r="AH147" s="6"/>
      <c r="AV147" s="53"/>
      <c r="AW147" s="40"/>
      <c r="AX147" s="41"/>
    </row>
    <row r="148" spans="2:50" ht="14.5" x14ac:dyDescent="0.35">
      <c r="B148" s="70" t="s">
        <v>1017</v>
      </c>
      <c r="C148" s="70" t="s">
        <v>1018</v>
      </c>
      <c r="D148" s="72" t="str">
        <f t="shared" si="24"/>
        <v>HG-Hogshead</v>
      </c>
      <c r="F148" s="4" t="s">
        <v>464</v>
      </c>
      <c r="G148" s="4" t="s">
        <v>1476</v>
      </c>
      <c r="H148" s="4" t="str">
        <f t="shared" si="25"/>
        <v>SGD-Singapore Dollar</v>
      </c>
      <c r="N148" s="9" t="s">
        <v>664</v>
      </c>
      <c r="O148" s="29" t="s">
        <v>665</v>
      </c>
      <c r="P148" s="147" t="str">
        <f t="shared" si="26"/>
        <v>ML-Mali</v>
      </c>
      <c r="Q148"/>
      <c r="W148"/>
      <c r="X148"/>
      <c r="AF148" s="22"/>
      <c r="AG148" s="22"/>
      <c r="AH148" s="6"/>
      <c r="AV148" s="53"/>
      <c r="AW148" s="40"/>
      <c r="AX148" s="41"/>
    </row>
    <row r="149" spans="2:50" ht="14.5" x14ac:dyDescent="0.35">
      <c r="B149" s="70" t="s">
        <v>569</v>
      </c>
      <c r="C149" s="70" t="s">
        <v>1019</v>
      </c>
      <c r="D149" s="72" t="str">
        <f t="shared" si="24"/>
        <v>HN-Gancho (hanger)</v>
      </c>
      <c r="F149" s="4" t="s">
        <v>461</v>
      </c>
      <c r="G149" s="4" t="s">
        <v>1477</v>
      </c>
      <c r="H149" s="4" t="str">
        <f t="shared" si="25"/>
        <v>SBD-Solomon Islands Dollar</v>
      </c>
      <c r="N149" s="9" t="s">
        <v>666</v>
      </c>
      <c r="O149" s="29" t="s">
        <v>667</v>
      </c>
      <c r="P149" s="147" t="str">
        <f t="shared" si="26"/>
        <v>MM-Myanmar</v>
      </c>
      <c r="Q149"/>
      <c r="W149"/>
      <c r="X149"/>
      <c r="AF149" s="22"/>
      <c r="AG149" s="22"/>
      <c r="AH149" s="6"/>
      <c r="AV149" s="53"/>
      <c r="AW149" s="40"/>
      <c r="AX149" s="41"/>
    </row>
    <row r="150" spans="2:50" ht="14.5" x14ac:dyDescent="0.35">
      <c r="B150" s="70" t="s">
        <v>571</v>
      </c>
      <c r="C150" s="70" t="s">
        <v>1020</v>
      </c>
      <c r="D150" s="72" t="str">
        <f t="shared" si="24"/>
        <v>HR-Hamper</v>
      </c>
      <c r="F150" s="4" t="s">
        <v>465</v>
      </c>
      <c r="G150" s="4" t="s">
        <v>1478</v>
      </c>
      <c r="H150" s="4" t="str">
        <f t="shared" si="25"/>
        <v>SOS-Somali Schilling</v>
      </c>
      <c r="N150" s="9" t="s">
        <v>668</v>
      </c>
      <c r="O150" s="29" t="s">
        <v>669</v>
      </c>
      <c r="P150" s="147" t="str">
        <f t="shared" si="26"/>
        <v>MN-Mongolia</v>
      </c>
      <c r="Q150"/>
      <c r="W150"/>
      <c r="X150"/>
      <c r="AF150" s="22"/>
      <c r="AG150" s="22"/>
      <c r="AH150" s="6"/>
      <c r="AV150" s="53"/>
      <c r="AW150" s="40"/>
      <c r="AX150" s="41"/>
    </row>
    <row r="151" spans="2:50" ht="14.5" x14ac:dyDescent="0.35">
      <c r="B151" s="70" t="s">
        <v>1021</v>
      </c>
      <c r="C151" s="70" t="s">
        <v>1022</v>
      </c>
      <c r="D151" s="72" t="str">
        <f t="shared" si="24"/>
        <v>IA-Package, display, wooden</v>
      </c>
      <c r="F151" s="4" t="s">
        <v>443</v>
      </c>
      <c r="G151" s="4" t="s">
        <v>1479</v>
      </c>
      <c r="H151" s="4" t="str">
        <f t="shared" si="25"/>
        <v>LKR-Sri Lanka Rupee</v>
      </c>
      <c r="N151" s="9" t="s">
        <v>670</v>
      </c>
      <c r="O151" s="29" t="s">
        <v>671</v>
      </c>
      <c r="P151" s="147" t="str">
        <f t="shared" si="26"/>
        <v>MO-Macao</v>
      </c>
      <c r="Q151"/>
      <c r="W151"/>
      <c r="X151"/>
      <c r="AF151" s="22"/>
      <c r="AG151" s="22"/>
      <c r="AH151" s="6"/>
      <c r="AV151" s="53"/>
      <c r="AW151" s="40"/>
      <c r="AX151" s="41"/>
    </row>
    <row r="152" spans="2:50" ht="14.5" x14ac:dyDescent="0.35">
      <c r="B152" s="70" t="s">
        <v>1023</v>
      </c>
      <c r="C152" s="70" t="s">
        <v>1024</v>
      </c>
      <c r="D152" s="72" t="str">
        <f t="shared" si="24"/>
        <v>IB-Package, display, cardboard</v>
      </c>
      <c r="F152" s="4" t="s">
        <v>1334</v>
      </c>
      <c r="G152" s="4" t="s">
        <v>1480</v>
      </c>
      <c r="H152" s="4" t="str">
        <f t="shared" si="25"/>
        <v>SHP-St. Helena Pound</v>
      </c>
      <c r="N152" s="9" t="s">
        <v>672</v>
      </c>
      <c r="O152" s="29" t="s">
        <v>673</v>
      </c>
      <c r="P152" s="147" t="str">
        <f t="shared" si="26"/>
        <v>MP-N Mariana Is</v>
      </c>
      <c r="Q152"/>
      <c r="W152"/>
      <c r="X152"/>
      <c r="AF152" s="22"/>
      <c r="AG152" s="22"/>
      <c r="AH152" s="6"/>
      <c r="AV152" s="53"/>
      <c r="AW152" s="40"/>
      <c r="AX152" s="41"/>
    </row>
    <row r="153" spans="2:50" ht="14.5" x14ac:dyDescent="0.35">
      <c r="B153" s="70" t="s">
        <v>1025</v>
      </c>
      <c r="C153" s="70" t="s">
        <v>1026</v>
      </c>
      <c r="D153" s="72" t="str">
        <f t="shared" si="24"/>
        <v>IC-Package, display, plastic</v>
      </c>
      <c r="F153" s="4" t="s">
        <v>1283</v>
      </c>
      <c r="G153" s="4" t="s">
        <v>1353</v>
      </c>
      <c r="H153" s="4" t="str">
        <f t="shared" si="25"/>
        <v>XCD-East Carribbean Dollar</v>
      </c>
      <c r="N153" s="9" t="s">
        <v>674</v>
      </c>
      <c r="O153" s="29" t="s">
        <v>675</v>
      </c>
      <c r="P153" s="147" t="str">
        <f t="shared" si="26"/>
        <v>MQ-Martinique</v>
      </c>
      <c r="Q153"/>
      <c r="W153"/>
      <c r="X153"/>
      <c r="AF153" s="22"/>
      <c r="AG153" s="22"/>
      <c r="AH153" s="6"/>
      <c r="AV153" s="53"/>
      <c r="AW153" s="40"/>
      <c r="AX153" s="41"/>
    </row>
    <row r="154" spans="2:50" ht="14.5" x14ac:dyDescent="0.35">
      <c r="B154" s="70" t="s">
        <v>577</v>
      </c>
      <c r="C154" s="70" t="s">
        <v>1027</v>
      </c>
      <c r="D154" s="72" t="str">
        <f t="shared" si="24"/>
        <v>ID-Package, display, metal</v>
      </c>
      <c r="F154" s="4" t="s">
        <v>1283</v>
      </c>
      <c r="G154" s="4" t="s">
        <v>1353</v>
      </c>
      <c r="H154" s="4" t="str">
        <f t="shared" si="25"/>
        <v>XCD-East Carribbean Dollar</v>
      </c>
      <c r="N154" s="9" t="s">
        <v>676</v>
      </c>
      <c r="O154" s="29" t="s">
        <v>677</v>
      </c>
      <c r="P154" s="147" t="str">
        <f t="shared" si="26"/>
        <v>MR-Mauritania</v>
      </c>
      <c r="Q154"/>
      <c r="W154"/>
      <c r="X154"/>
      <c r="AF154" s="22"/>
      <c r="AG154" s="22"/>
      <c r="AH154" s="6"/>
      <c r="AV154" s="53"/>
      <c r="AW154" s="40"/>
      <c r="AX154" s="41"/>
    </row>
    <row r="155" spans="2:50" ht="14.5" x14ac:dyDescent="0.35">
      <c r="B155" s="70" t="s">
        <v>579</v>
      </c>
      <c r="C155" s="70" t="s">
        <v>1028</v>
      </c>
      <c r="D155" s="72" t="str">
        <f t="shared" si="24"/>
        <v>IE-Package, show</v>
      </c>
      <c r="F155" s="4" t="s">
        <v>1283</v>
      </c>
      <c r="G155" s="4" t="s">
        <v>1353</v>
      </c>
      <c r="H155" s="4" t="str">
        <f t="shared" si="25"/>
        <v>XCD-East Carribbean Dollar</v>
      </c>
      <c r="N155" s="9" t="s">
        <v>678</v>
      </c>
      <c r="O155" s="29" t="s">
        <v>679</v>
      </c>
      <c r="P155" s="147" t="str">
        <f t="shared" si="26"/>
        <v>MS-Montserrat</v>
      </c>
      <c r="Q155"/>
      <c r="W155"/>
      <c r="X155"/>
      <c r="AF155" s="22"/>
      <c r="AG155" s="22"/>
      <c r="AH155" s="6"/>
      <c r="AV155" s="53"/>
      <c r="AW155" s="40"/>
      <c r="AX155" s="41"/>
    </row>
    <row r="156" spans="2:50" ht="14.5" x14ac:dyDescent="0.35">
      <c r="B156" s="70" t="s">
        <v>1029</v>
      </c>
      <c r="C156" s="70" t="s">
        <v>1030</v>
      </c>
      <c r="D156" s="72" t="str">
        <f t="shared" si="24"/>
        <v>IF-Package, flow</v>
      </c>
      <c r="F156" s="4" t="s">
        <v>1335</v>
      </c>
      <c r="G156" s="4" t="s">
        <v>1481</v>
      </c>
      <c r="H156" s="4" t="str">
        <f t="shared" si="25"/>
        <v>SDG-Sudanese Dinar</v>
      </c>
      <c r="N156" s="9" t="s">
        <v>680</v>
      </c>
      <c r="O156" s="29" t="s">
        <v>681</v>
      </c>
      <c r="P156" s="147" t="str">
        <f t="shared" si="26"/>
        <v>MT-Maltese</v>
      </c>
      <c r="Q156"/>
      <c r="W156"/>
      <c r="X156"/>
      <c r="AF156" s="22"/>
      <c r="AG156" s="22"/>
      <c r="AH156" s="6"/>
      <c r="AV156" s="53"/>
      <c r="AW156" s="40"/>
      <c r="AX156" s="41"/>
    </row>
    <row r="157" spans="2:50" ht="14.5" x14ac:dyDescent="0.35">
      <c r="B157" s="70" t="s">
        <v>1031</v>
      </c>
      <c r="C157" s="70" t="s">
        <v>1032</v>
      </c>
      <c r="D157" s="72" t="str">
        <f t="shared" si="24"/>
        <v>IG-Package, paper-wrapped</v>
      </c>
      <c r="F157" s="4" t="s">
        <v>1336</v>
      </c>
      <c r="G157" s="4" t="s">
        <v>1482</v>
      </c>
      <c r="H157" s="4" t="str">
        <f t="shared" si="25"/>
        <v>SRD-Surinam Dollar</v>
      </c>
      <c r="N157" s="9" t="s">
        <v>682</v>
      </c>
      <c r="O157" s="29" t="s">
        <v>683</v>
      </c>
      <c r="P157" s="147" t="str">
        <f t="shared" si="26"/>
        <v>MU-Mauritius</v>
      </c>
      <c r="Q157"/>
      <c r="W157"/>
      <c r="X157"/>
      <c r="AF157" s="22"/>
      <c r="AG157" s="22"/>
      <c r="AH157" s="6"/>
      <c r="AV157" s="53"/>
      <c r="AW157" s="40"/>
      <c r="AX157" s="41"/>
    </row>
    <row r="158" spans="2:50" ht="14.5" x14ac:dyDescent="0.35">
      <c r="B158" s="70" t="s">
        <v>1033</v>
      </c>
      <c r="C158" s="70" t="s">
        <v>1034</v>
      </c>
      <c r="D158" s="72" t="str">
        <f t="shared" si="24"/>
        <v>IH-Drum, plastic</v>
      </c>
      <c r="F158" s="4" t="s">
        <v>466</v>
      </c>
      <c r="G158" s="4" t="s">
        <v>1483</v>
      </c>
      <c r="H158" s="4" t="str">
        <f t="shared" si="25"/>
        <v>SYP-Syrian Pound</v>
      </c>
      <c r="N158" s="9" t="s">
        <v>684</v>
      </c>
      <c r="O158" s="29" t="s">
        <v>685</v>
      </c>
      <c r="P158" s="147" t="str">
        <f t="shared" si="26"/>
        <v>MV-Maldives</v>
      </c>
      <c r="Q158"/>
      <c r="W158"/>
      <c r="X158"/>
      <c r="AF158" s="22"/>
      <c r="AG158" s="22"/>
      <c r="AH158" s="6"/>
      <c r="AV158" s="53"/>
      <c r="AW158" s="40"/>
      <c r="AX158" s="41"/>
    </row>
    <row r="159" spans="2:50" ht="14.5" x14ac:dyDescent="0.35">
      <c r="B159" s="70" t="s">
        <v>1035</v>
      </c>
      <c r="C159" s="70" t="s">
        <v>1036</v>
      </c>
      <c r="D159" s="72" t="str">
        <f t="shared" ref="D159:D222" si="27">CONCATENATE(B159,"-",C159)</f>
        <v>IK-Package, cardboard, with bottle grip-holes</v>
      </c>
      <c r="F159" s="4" t="s">
        <v>460</v>
      </c>
      <c r="G159" s="4" t="s">
        <v>1484</v>
      </c>
      <c r="H159" s="4" t="str">
        <f t="shared" si="25"/>
        <v>SAR-Saudi Riyal</v>
      </c>
      <c r="N159" s="9" t="s">
        <v>686</v>
      </c>
      <c r="O159" s="29" t="s">
        <v>687</v>
      </c>
      <c r="P159" s="147" t="str">
        <f t="shared" si="26"/>
        <v>MW-Malawi</v>
      </c>
      <c r="Q159"/>
      <c r="W159"/>
      <c r="X159"/>
      <c r="AF159" s="22"/>
      <c r="AG159" s="22"/>
      <c r="AH159" s="6"/>
      <c r="AV159" s="53"/>
      <c r="AW159" s="40"/>
      <c r="AX159" s="41"/>
    </row>
    <row r="160" spans="2:50" ht="29" x14ac:dyDescent="0.35">
      <c r="B160" s="70" t="s">
        <v>581</v>
      </c>
      <c r="C160" s="70" t="s">
        <v>1037</v>
      </c>
      <c r="D160" s="72" t="str">
        <f t="shared" si="27"/>
        <v>IL-Bandeja rígida, con tapa, apilable (CEN TS 14482:2002)</v>
      </c>
      <c r="F160" s="4" t="s">
        <v>467</v>
      </c>
      <c r="G160" s="4" t="s">
        <v>1485</v>
      </c>
      <c r="H160" s="4" t="str">
        <f t="shared" si="25"/>
        <v>SZL-Swaziland Lilangeni</v>
      </c>
      <c r="N160" s="9" t="s">
        <v>688</v>
      </c>
      <c r="O160" s="29" t="s">
        <v>689</v>
      </c>
      <c r="P160" s="147" t="str">
        <f t="shared" si="26"/>
        <v>MX-Mexico</v>
      </c>
      <c r="Q160"/>
      <c r="W160"/>
      <c r="X160"/>
      <c r="AF160" s="22"/>
      <c r="AG160" s="22"/>
      <c r="AH160" s="6"/>
      <c r="AV160" s="53"/>
      <c r="AW160" s="40"/>
      <c r="AX160" s="41"/>
    </row>
    <row r="161" spans="2:50" ht="14.5" x14ac:dyDescent="0.35">
      <c r="B161" s="70" t="s">
        <v>584</v>
      </c>
      <c r="C161" s="70" t="s">
        <v>1038</v>
      </c>
      <c r="D161" s="72" t="str">
        <f t="shared" si="27"/>
        <v>IN-Ingot</v>
      </c>
      <c r="F161" s="4" t="s">
        <v>1337</v>
      </c>
      <c r="G161" s="4" t="s">
        <v>1486</v>
      </c>
      <c r="H161" s="4" t="str">
        <f t="shared" si="25"/>
        <v>CLP-Chilean Peso</v>
      </c>
      <c r="N161" s="9" t="s">
        <v>690</v>
      </c>
      <c r="O161" s="29" t="s">
        <v>691</v>
      </c>
      <c r="P161" s="147" t="str">
        <f t="shared" si="26"/>
        <v>MY-Malaysia</v>
      </c>
      <c r="Q161"/>
      <c r="W161"/>
      <c r="X161"/>
      <c r="AF161" s="22"/>
      <c r="AG161" s="22"/>
      <c r="AH161" s="6"/>
      <c r="AV161" s="53"/>
      <c r="AW161" s="40"/>
      <c r="AX161" s="41"/>
    </row>
    <row r="162" spans="2:50" ht="14.5" x14ac:dyDescent="0.35">
      <c r="B162" s="70" t="s">
        <v>1039</v>
      </c>
      <c r="C162" s="70" t="s">
        <v>1040</v>
      </c>
      <c r="D162" s="72" t="str">
        <f t="shared" si="27"/>
        <v>IZ-Ingots, in bundle/bunch/truss</v>
      </c>
      <c r="F162" s="4" t="s">
        <v>1338</v>
      </c>
      <c r="G162" s="4" t="s">
        <v>1487</v>
      </c>
      <c r="H162" s="4" t="str">
        <f t="shared" si="25"/>
        <v>TJS-Somoni</v>
      </c>
      <c r="N162" s="9" t="s">
        <v>692</v>
      </c>
      <c r="O162" s="29" t="s">
        <v>693</v>
      </c>
      <c r="P162" s="147" t="str">
        <f t="shared" si="26"/>
        <v>MZ-Mozambique</v>
      </c>
      <c r="Q162"/>
      <c r="W162"/>
      <c r="X162"/>
      <c r="AF162" s="22"/>
      <c r="AG162" s="22"/>
      <c r="AH162" s="6"/>
      <c r="AV162" s="53"/>
      <c r="AW162" s="40"/>
      <c r="AX162" s="41"/>
    </row>
    <row r="163" spans="2:50" ht="14.5" x14ac:dyDescent="0.35">
      <c r="B163" s="70" t="s">
        <v>1041</v>
      </c>
      <c r="C163" s="70" t="s">
        <v>1042</v>
      </c>
      <c r="D163" s="72" t="str">
        <f t="shared" si="27"/>
        <v>JB-Saco cúbico de polipropileno (jumbo bag)</v>
      </c>
      <c r="F163" s="4" t="s">
        <v>472</v>
      </c>
      <c r="G163" s="4" t="s">
        <v>1488</v>
      </c>
      <c r="H163" s="4" t="str">
        <f t="shared" si="25"/>
        <v>TZS-Tanzanian Schilling</v>
      </c>
      <c r="N163" s="9" t="s">
        <v>694</v>
      </c>
      <c r="O163" s="29" t="s">
        <v>695</v>
      </c>
      <c r="P163" s="147" t="str">
        <f t="shared" si="26"/>
        <v>NA-Namibia</v>
      </c>
      <c r="Q163"/>
      <c r="W163"/>
      <c r="X163"/>
      <c r="AF163" s="22"/>
      <c r="AG163" s="22"/>
      <c r="AH163" s="6"/>
      <c r="AV163" s="53"/>
      <c r="AW163" s="40"/>
      <c r="AX163" s="41"/>
    </row>
    <row r="164" spans="2:50" ht="14.5" x14ac:dyDescent="0.35">
      <c r="B164" s="70" t="s">
        <v>1043</v>
      </c>
      <c r="C164" s="70" t="s">
        <v>1044</v>
      </c>
      <c r="D164" s="72" t="str">
        <f t="shared" si="27"/>
        <v>JC-Jerrycan, rectangular</v>
      </c>
      <c r="F164" s="4" t="s">
        <v>468</v>
      </c>
      <c r="G164" s="4" t="s">
        <v>1489</v>
      </c>
      <c r="H164" s="4" t="str">
        <f t="shared" si="25"/>
        <v>THB-Thai Baht</v>
      </c>
      <c r="N164" s="9" t="s">
        <v>696</v>
      </c>
      <c r="O164" s="29" t="s">
        <v>697</v>
      </c>
      <c r="P164" s="147" t="str">
        <f t="shared" si="26"/>
        <v>NC-New Caledonia</v>
      </c>
      <c r="Q164"/>
      <c r="W164"/>
      <c r="X164"/>
      <c r="AF164" s="22"/>
      <c r="AG164" s="22"/>
      <c r="AH164" s="6"/>
      <c r="AV164" s="53"/>
      <c r="AW164" s="40"/>
      <c r="AX164" s="41"/>
    </row>
    <row r="165" spans="2:50" ht="14.5" x14ac:dyDescent="0.35">
      <c r="B165" s="70" t="s">
        <v>1045</v>
      </c>
      <c r="C165" s="70" t="s">
        <v>1046</v>
      </c>
      <c r="D165" s="72" t="str">
        <f t="shared" si="27"/>
        <v>JG-Jug</v>
      </c>
      <c r="F165" s="4" t="s">
        <v>471</v>
      </c>
      <c r="G165" s="4" t="s">
        <v>1490</v>
      </c>
      <c r="H165" s="4" t="str">
        <f t="shared" si="25"/>
        <v>TWD-New Taiwan Dollar</v>
      </c>
      <c r="N165" s="9" t="s">
        <v>698</v>
      </c>
      <c r="O165" s="29" t="s">
        <v>699</v>
      </c>
      <c r="P165" s="147" t="str">
        <f t="shared" si="26"/>
        <v>NE-Niger</v>
      </c>
      <c r="Q165"/>
      <c r="W165"/>
      <c r="X165"/>
      <c r="AF165" s="22"/>
      <c r="AG165" s="22"/>
      <c r="AH165" s="6"/>
      <c r="AV165" s="53"/>
      <c r="AW165" s="40"/>
      <c r="AX165" s="41"/>
    </row>
    <row r="166" spans="2:50" ht="14.5" x14ac:dyDescent="0.35">
      <c r="B166" s="70" t="s">
        <v>1047</v>
      </c>
      <c r="C166" s="70" t="s">
        <v>1048</v>
      </c>
      <c r="D166" s="72" t="str">
        <f t="shared" si="27"/>
        <v>JR-Jar</v>
      </c>
      <c r="F166" s="4" t="s">
        <v>478</v>
      </c>
      <c r="G166" s="4" t="s">
        <v>1491</v>
      </c>
      <c r="H166" s="4" t="str">
        <f t="shared" si="25"/>
        <v>XOF-Togo, CFA Franc BCEAO</v>
      </c>
      <c r="N166" s="9" t="s">
        <v>700</v>
      </c>
      <c r="O166" s="29" t="s">
        <v>701</v>
      </c>
      <c r="P166" s="147" t="str">
        <f t="shared" si="26"/>
        <v>NF-Norfolk Island</v>
      </c>
      <c r="Q166"/>
      <c r="W166"/>
      <c r="X166"/>
      <c r="AF166" s="22"/>
      <c r="AG166" s="22"/>
      <c r="AH166" s="6"/>
      <c r="AV166" s="53"/>
      <c r="AW166" s="40"/>
      <c r="AX166" s="41"/>
    </row>
    <row r="167" spans="2:50" ht="14.5" x14ac:dyDescent="0.35">
      <c r="B167" s="70" t="s">
        <v>1049</v>
      </c>
      <c r="C167" s="70" t="s">
        <v>1050</v>
      </c>
      <c r="D167" s="72" t="str">
        <f t="shared" si="27"/>
        <v>JT-Jutebag</v>
      </c>
      <c r="F167" s="4" t="s">
        <v>470</v>
      </c>
      <c r="G167" s="4" t="s">
        <v>1492</v>
      </c>
      <c r="H167" s="4" t="str">
        <f t="shared" si="25"/>
        <v>TOP-Tongan Pa'anga</v>
      </c>
      <c r="N167" s="9" t="s">
        <v>702</v>
      </c>
      <c r="O167" s="29" t="s">
        <v>703</v>
      </c>
      <c r="P167" s="147" t="str">
        <f t="shared" si="26"/>
        <v>NG-Nigeria</v>
      </c>
      <c r="Q167"/>
      <c r="W167"/>
      <c r="X167"/>
      <c r="AF167" s="22"/>
      <c r="AG167" s="22"/>
      <c r="AH167" s="6"/>
      <c r="AV167" s="53"/>
      <c r="AW167" s="40"/>
      <c r="AX167" s="41"/>
    </row>
    <row r="168" spans="2:50" ht="14.5" x14ac:dyDescent="0.35">
      <c r="B168" s="70" t="s">
        <v>1051</v>
      </c>
      <c r="C168" s="70" t="s">
        <v>1052</v>
      </c>
      <c r="D168" s="72" t="str">
        <f t="shared" si="27"/>
        <v>JY-Jerrycan, cylindrical</v>
      </c>
      <c r="F168" s="4" t="s">
        <v>1339</v>
      </c>
      <c r="G168" s="4" t="s">
        <v>1493</v>
      </c>
      <c r="H168" s="4" t="str">
        <f t="shared" si="25"/>
        <v>TTD-Trinidad and Tobago Dollar</v>
      </c>
      <c r="N168" s="9" t="s">
        <v>704</v>
      </c>
      <c r="O168" s="29" t="s">
        <v>705</v>
      </c>
      <c r="P168" s="147" t="str">
        <f t="shared" si="26"/>
        <v>NI-Nicaragua</v>
      </c>
      <c r="Q168"/>
      <c r="W168"/>
      <c r="X168"/>
      <c r="AF168" s="22"/>
      <c r="AG168" s="22"/>
      <c r="AH168" s="6"/>
      <c r="AV168" s="53"/>
      <c r="AW168" s="40"/>
      <c r="AX168" s="41"/>
    </row>
    <row r="169" spans="2:50" ht="14.5" x14ac:dyDescent="0.35">
      <c r="B169" s="70" t="s">
        <v>606</v>
      </c>
      <c r="C169" s="70" t="s">
        <v>1053</v>
      </c>
      <c r="D169" s="72" t="str">
        <f t="shared" si="27"/>
        <v>KG-Keg</v>
      </c>
      <c r="F169" s="4" t="s">
        <v>469</v>
      </c>
      <c r="G169" s="4" t="s">
        <v>1494</v>
      </c>
      <c r="H169" s="4" t="str">
        <f t="shared" si="25"/>
        <v>TND-Tunisian Dinar</v>
      </c>
      <c r="N169" s="9" t="s">
        <v>706</v>
      </c>
      <c r="O169" s="29" t="s">
        <v>707</v>
      </c>
      <c r="P169" s="147" t="str">
        <f t="shared" si="26"/>
        <v>NL-Dutch</v>
      </c>
      <c r="Q169"/>
      <c r="W169"/>
      <c r="X169"/>
      <c r="AF169" s="22"/>
      <c r="AG169" s="22"/>
      <c r="AH169" s="6"/>
      <c r="AV169" s="53"/>
      <c r="AW169" s="40"/>
      <c r="AX169" s="41"/>
    </row>
    <row r="170" spans="2:50" ht="14.5" x14ac:dyDescent="0.35">
      <c r="B170" s="70" t="s">
        <v>610</v>
      </c>
      <c r="C170" s="70" t="s">
        <v>1054</v>
      </c>
      <c r="D170" s="72" t="str">
        <f t="shared" si="27"/>
        <v>KI-Juego (kit)</v>
      </c>
      <c r="F170" s="4" t="s">
        <v>219</v>
      </c>
      <c r="G170" s="4" t="s">
        <v>1495</v>
      </c>
      <c r="H170" s="4" t="str">
        <f t="shared" si="25"/>
        <v>TRY-Turkish Lira</v>
      </c>
      <c r="N170" s="9" t="s">
        <v>708</v>
      </c>
      <c r="O170" s="29" t="s">
        <v>709</v>
      </c>
      <c r="P170" s="147" t="str">
        <f t="shared" si="26"/>
        <v>NO-Norwegian</v>
      </c>
      <c r="Q170"/>
      <c r="W170"/>
      <c r="X170"/>
      <c r="AF170" s="22"/>
      <c r="AG170" s="22"/>
      <c r="AH170" s="6"/>
      <c r="AV170" s="53"/>
      <c r="AW170" s="40"/>
      <c r="AX170" s="41"/>
    </row>
    <row r="171" spans="2:50" ht="14.5" x14ac:dyDescent="0.35">
      <c r="B171" s="70" t="s">
        <v>614</v>
      </c>
      <c r="C171" s="70" t="s">
        <v>1055</v>
      </c>
      <c r="D171" s="72" t="str">
        <f t="shared" si="27"/>
        <v>KN-Container</v>
      </c>
      <c r="F171" s="4" t="s">
        <v>1340</v>
      </c>
      <c r="G171" s="4" t="s">
        <v>1496</v>
      </c>
      <c r="H171" s="4" t="str">
        <f t="shared" si="25"/>
        <v>TMT-Turkmenistan New Manat </v>
      </c>
      <c r="N171" s="9" t="s">
        <v>710</v>
      </c>
      <c r="O171" s="29" t="s">
        <v>711</v>
      </c>
      <c r="P171" s="147" t="str">
        <f t="shared" si="26"/>
        <v>NP-Nepal</v>
      </c>
      <c r="Q171"/>
      <c r="W171"/>
      <c r="X171"/>
      <c r="AF171" s="22"/>
      <c r="AG171" s="22"/>
      <c r="AH171" s="6"/>
      <c r="AV171" s="53"/>
      <c r="AW171" s="40"/>
      <c r="AX171" s="41"/>
    </row>
    <row r="172" spans="2:50" ht="14.5" x14ac:dyDescent="0.35">
      <c r="B172" s="70" t="s">
        <v>1056</v>
      </c>
      <c r="C172" s="70" t="s">
        <v>1057</v>
      </c>
      <c r="D172" s="72" t="str">
        <f t="shared" si="27"/>
        <v>LE-Equipaje</v>
      </c>
      <c r="F172" s="4" t="s">
        <v>1341</v>
      </c>
      <c r="G172" s="4" t="s">
        <v>1497</v>
      </c>
      <c r="H172" s="4" t="str">
        <f t="shared" si="25"/>
        <v>UGX-Uganda Shilling</v>
      </c>
      <c r="N172" s="9" t="s">
        <v>712</v>
      </c>
      <c r="O172" s="29" t="s">
        <v>713</v>
      </c>
      <c r="P172" s="147" t="str">
        <f t="shared" si="26"/>
        <v>NR-Nauru</v>
      </c>
      <c r="Q172"/>
      <c r="W172"/>
      <c r="X172"/>
      <c r="AF172" s="22"/>
      <c r="AG172" s="22"/>
      <c r="AH172" s="6"/>
      <c r="AV172" s="53"/>
      <c r="AW172" s="40"/>
      <c r="AX172" s="41"/>
    </row>
    <row r="173" spans="2:50" ht="14.5" x14ac:dyDescent="0.35">
      <c r="B173" s="70" t="s">
        <v>1058</v>
      </c>
      <c r="C173" s="70" t="s">
        <v>1059</v>
      </c>
      <c r="D173" s="72" t="str">
        <f t="shared" si="27"/>
        <v>LG-Log</v>
      </c>
      <c r="F173" s="4" t="s">
        <v>473</v>
      </c>
      <c r="G173" s="4" t="s">
        <v>1498</v>
      </c>
      <c r="H173" s="4" t="str">
        <f t="shared" si="25"/>
        <v>UAH-Ukraine Hryvnia</v>
      </c>
      <c r="N173" s="9" t="s">
        <v>714</v>
      </c>
      <c r="O173" s="29" t="s">
        <v>715</v>
      </c>
      <c r="P173" s="147" t="str">
        <f t="shared" si="26"/>
        <v>NU-Niue</v>
      </c>
      <c r="Q173"/>
      <c r="W173"/>
      <c r="X173"/>
      <c r="AF173" s="22"/>
      <c r="AG173" s="22"/>
      <c r="AH173" s="6"/>
      <c r="AV173" s="53"/>
      <c r="AW173" s="40"/>
      <c r="AX173" s="41"/>
    </row>
    <row r="174" spans="2:50" ht="14.5" x14ac:dyDescent="0.35">
      <c r="B174" s="70" t="s">
        <v>640</v>
      </c>
      <c r="C174" s="70" t="s">
        <v>1060</v>
      </c>
      <c r="D174" s="72" t="str">
        <f t="shared" si="27"/>
        <v>LT-Lot</v>
      </c>
      <c r="F174" s="4" t="s">
        <v>456</v>
      </c>
      <c r="G174" s="4" t="s">
        <v>1499</v>
      </c>
      <c r="H174" s="4" t="str">
        <f t="shared" si="25"/>
        <v>OMR-Rial Omani</v>
      </c>
      <c r="N174" s="9" t="s">
        <v>716</v>
      </c>
      <c r="O174" s="29" t="s">
        <v>717</v>
      </c>
      <c r="P174" s="147" t="str">
        <f t="shared" si="26"/>
        <v>NZ-New Zealand</v>
      </c>
      <c r="Q174"/>
      <c r="W174"/>
      <c r="X174"/>
      <c r="AF174" s="22"/>
      <c r="AG174" s="22"/>
      <c r="AH174" s="6"/>
      <c r="AV174" s="53"/>
      <c r="AW174" s="40"/>
      <c r="AX174" s="41"/>
    </row>
    <row r="175" spans="2:50" ht="14.5" x14ac:dyDescent="0.35">
      <c r="B175" s="70" t="s">
        <v>642</v>
      </c>
      <c r="C175" s="70" t="s">
        <v>1061</v>
      </c>
      <c r="D175" s="72" t="str">
        <f t="shared" si="27"/>
        <v>LU-Caja de madera (lug)</v>
      </c>
      <c r="F175" s="4" t="s">
        <v>1342</v>
      </c>
      <c r="G175" s="4" t="s">
        <v>1500</v>
      </c>
      <c r="H175" s="4" t="str">
        <f t="shared" si="25"/>
        <v>UYU-Peso Uruguayo</v>
      </c>
      <c r="N175" s="9" t="s">
        <v>718</v>
      </c>
      <c r="O175" s="29" t="s">
        <v>719</v>
      </c>
      <c r="P175" s="147" t="str">
        <f t="shared" si="26"/>
        <v>OM-Oman</v>
      </c>
      <c r="Q175"/>
      <c r="W175"/>
      <c r="X175"/>
      <c r="AF175" s="22"/>
      <c r="AG175" s="22"/>
      <c r="AH175" s="6"/>
      <c r="AV175" s="53"/>
      <c r="AW175" s="40"/>
      <c r="AX175" s="41"/>
    </row>
    <row r="176" spans="2:50" ht="14.5" x14ac:dyDescent="0.35">
      <c r="B176" s="70" t="s">
        <v>644</v>
      </c>
      <c r="C176" s="70" t="s">
        <v>1062</v>
      </c>
      <c r="D176" s="72" t="str">
        <f t="shared" si="27"/>
        <v>LV-Lift van</v>
      </c>
      <c r="F176" s="4" t="s">
        <v>435</v>
      </c>
      <c r="G176" s="4" t="s">
        <v>1501</v>
      </c>
      <c r="H176" s="4" t="str">
        <f t="shared" si="25"/>
        <v>JOD-Jordanian Dinar</v>
      </c>
      <c r="N176" s="9" t="s">
        <v>720</v>
      </c>
      <c r="O176" s="29" t="s">
        <v>721</v>
      </c>
      <c r="P176" s="147" t="str">
        <f t="shared" si="26"/>
        <v>PA-Panama</v>
      </c>
      <c r="Q176"/>
      <c r="W176"/>
      <c r="X176"/>
      <c r="AF176" s="22"/>
      <c r="AG176" s="22"/>
      <c r="AH176" s="6"/>
      <c r="AV176" s="53"/>
      <c r="AW176" s="40"/>
      <c r="AX176" s="41"/>
    </row>
    <row r="177" spans="2:50" ht="14.5" x14ac:dyDescent="0.35">
      <c r="B177" s="70" t="s">
        <v>1063</v>
      </c>
      <c r="C177" s="70" t="s">
        <v>1064</v>
      </c>
      <c r="D177" s="72" t="str">
        <f t="shared" si="27"/>
        <v>LZ-Logs, in bundle/bunch/truss</v>
      </c>
      <c r="F177" s="4" t="s">
        <v>475</v>
      </c>
      <c r="G177" s="4" t="s">
        <v>1502</v>
      </c>
      <c r="H177" s="4" t="str">
        <f t="shared" si="25"/>
        <v>VUV-Vanuatu Vatu</v>
      </c>
      <c r="N177" s="9" t="s">
        <v>722</v>
      </c>
      <c r="O177" s="29" t="s">
        <v>723</v>
      </c>
      <c r="P177" s="147" t="str">
        <f t="shared" si="26"/>
        <v>PE-Peru</v>
      </c>
      <c r="Q177"/>
      <c r="W177"/>
      <c r="X177"/>
      <c r="AF177" s="22"/>
      <c r="AG177" s="22"/>
      <c r="AH177" s="6"/>
      <c r="AV177" s="53"/>
      <c r="AW177" s="40"/>
      <c r="AX177" s="41"/>
    </row>
    <row r="178" spans="2:50" ht="14.5" x14ac:dyDescent="0.35">
      <c r="B178" s="70" t="s">
        <v>648</v>
      </c>
      <c r="C178" s="70" t="s">
        <v>1065</v>
      </c>
      <c r="D178" s="72" t="str">
        <f t="shared" si="27"/>
        <v>MA-Cajón de metal</v>
      </c>
      <c r="F178" s="4" t="s">
        <v>1343</v>
      </c>
      <c r="G178" s="4" t="s">
        <v>1503</v>
      </c>
      <c r="H178" s="4" t="str">
        <f t="shared" si="25"/>
        <v>VEF-Venezuelan Bolivar</v>
      </c>
      <c r="N178" s="9" t="s">
        <v>724</v>
      </c>
      <c r="O178" s="29" t="s">
        <v>725</v>
      </c>
      <c r="P178" s="147" t="str">
        <f t="shared" si="26"/>
        <v>PF-French Polynesia</v>
      </c>
      <c r="Q178"/>
      <c r="W178"/>
      <c r="X178"/>
      <c r="AF178" s="22"/>
      <c r="AG178" s="22"/>
      <c r="AH178" s="6"/>
      <c r="AV178" s="53"/>
      <c r="AW178" s="40"/>
      <c r="AX178" s="41"/>
    </row>
    <row r="179" spans="2:50" ht="14.5" x14ac:dyDescent="0.35">
      <c r="B179" s="70" t="s">
        <v>1066</v>
      </c>
      <c r="C179" s="70" t="s">
        <v>1067</v>
      </c>
      <c r="D179" s="72" t="str">
        <f t="shared" si="27"/>
        <v>MB-Multiply bag</v>
      </c>
      <c r="F179" s="4" t="s">
        <v>1344</v>
      </c>
      <c r="G179" s="4" t="s">
        <v>1504</v>
      </c>
      <c r="H179" s="4" t="str">
        <f t="shared" si="25"/>
        <v>VND-Vietnamese Dong</v>
      </c>
      <c r="N179" s="9" t="s">
        <v>726</v>
      </c>
      <c r="O179" s="29" t="s">
        <v>727</v>
      </c>
      <c r="P179" s="147" t="str">
        <f t="shared" si="26"/>
        <v>PG-Papua New Guinea</v>
      </c>
      <c r="Q179"/>
      <c r="W179"/>
      <c r="X179"/>
      <c r="AF179" s="22"/>
      <c r="AG179" s="22"/>
      <c r="AH179" s="6"/>
      <c r="AV179" s="53"/>
      <c r="AW179" s="40"/>
      <c r="AX179" s="41"/>
    </row>
    <row r="180" spans="2:50" ht="14.5" x14ac:dyDescent="0.35">
      <c r="B180" s="70" t="s">
        <v>650</v>
      </c>
      <c r="C180" s="70" t="s">
        <v>1068</v>
      </c>
      <c r="D180" s="72" t="str">
        <f t="shared" si="27"/>
        <v>MC-Milk crate</v>
      </c>
      <c r="F180" s="4" t="s">
        <v>479</v>
      </c>
      <c r="G180" s="4" t="s">
        <v>1505</v>
      </c>
      <c r="H180" s="4" t="str">
        <f t="shared" si="25"/>
        <v>XPF-Wallis and Futuna, CFP Franc</v>
      </c>
      <c r="N180" s="9" t="s">
        <v>728</v>
      </c>
      <c r="O180" s="29" t="s">
        <v>729</v>
      </c>
      <c r="P180" s="147" t="str">
        <f t="shared" si="26"/>
        <v>PH-Philippines</v>
      </c>
      <c r="Q180"/>
      <c r="W180"/>
      <c r="X180"/>
      <c r="AF180" s="22"/>
      <c r="AG180" s="22"/>
      <c r="AH180" s="6"/>
      <c r="AV180" s="53"/>
      <c r="AW180" s="40"/>
      <c r="AX180" s="41"/>
    </row>
    <row r="181" spans="2:50" ht="14.5" x14ac:dyDescent="0.35">
      <c r="B181" s="70" t="s">
        <v>654</v>
      </c>
      <c r="C181" s="70" t="s">
        <v>1069</v>
      </c>
      <c r="D181" s="72" t="str">
        <f t="shared" si="27"/>
        <v>ME-Contenedor de metal</v>
      </c>
      <c r="F181" s="4" t="s">
        <v>480</v>
      </c>
      <c r="G181" s="4" t="s">
        <v>1506</v>
      </c>
      <c r="H181" s="4" t="str">
        <f t="shared" si="25"/>
        <v>YER-Yemeni Rial</v>
      </c>
      <c r="N181" s="9" t="s">
        <v>730</v>
      </c>
      <c r="O181" s="29" t="s">
        <v>731</v>
      </c>
      <c r="P181" s="147" t="str">
        <f t="shared" si="26"/>
        <v>PK-Pakistan</v>
      </c>
      <c r="Q181"/>
      <c r="W181"/>
      <c r="X181"/>
      <c r="AF181" s="22"/>
      <c r="AG181" s="22"/>
      <c r="AH181" s="6"/>
      <c r="AV181" s="53"/>
      <c r="AW181" s="40"/>
      <c r="AX181" s="41"/>
    </row>
    <row r="182" spans="2:50" ht="14.5" x14ac:dyDescent="0.35">
      <c r="B182" s="70" t="s">
        <v>676</v>
      </c>
      <c r="C182" s="70" t="s">
        <v>1070</v>
      </c>
      <c r="D182" s="72" t="str">
        <f t="shared" si="27"/>
        <v>MR-Receptacle, metal</v>
      </c>
      <c r="F182" s="4" t="s">
        <v>479</v>
      </c>
      <c r="G182" s="4" t="s">
        <v>1507</v>
      </c>
      <c r="H182" s="4" t="str">
        <f t="shared" si="25"/>
        <v>XPF-New Caledonia, CFP Franc</v>
      </c>
      <c r="N182" s="9" t="s">
        <v>732</v>
      </c>
      <c r="O182" s="29" t="s">
        <v>733</v>
      </c>
      <c r="P182" s="147" t="str">
        <f t="shared" si="26"/>
        <v>PL-Polish</v>
      </c>
      <c r="Q182"/>
      <c r="W182"/>
      <c r="X182"/>
      <c r="AF182" s="22"/>
      <c r="AG182" s="22"/>
      <c r="AH182" s="6"/>
      <c r="AV182" s="53"/>
      <c r="AW182" s="40"/>
      <c r="AX182" s="41"/>
    </row>
    <row r="183" spans="2:50" ht="14.5" x14ac:dyDescent="0.35">
      <c r="B183" s="70" t="s">
        <v>678</v>
      </c>
      <c r="C183" s="70" t="s">
        <v>1071</v>
      </c>
      <c r="D183" s="72" t="str">
        <f t="shared" si="27"/>
        <v>MS-Multiwall sack</v>
      </c>
      <c r="F183" s="4" t="s">
        <v>216</v>
      </c>
      <c r="G183" s="4" t="s">
        <v>1508</v>
      </c>
      <c r="H183" s="4" t="str">
        <f t="shared" si="25"/>
        <v>RON-New Romanian Leu </v>
      </c>
      <c r="N183" s="9" t="s">
        <v>734</v>
      </c>
      <c r="O183" s="29" t="s">
        <v>735</v>
      </c>
      <c r="P183" s="147" t="str">
        <f t="shared" si="26"/>
        <v>PM-St Pierre/Miquelon</v>
      </c>
      <c r="Q183"/>
      <c r="W183"/>
      <c r="X183"/>
      <c r="AF183" s="22"/>
      <c r="AG183" s="22"/>
      <c r="AH183" s="6"/>
      <c r="AV183" s="53"/>
      <c r="AW183" s="40"/>
      <c r="AX183" s="41"/>
    </row>
    <row r="184" spans="2:50" ht="14.5" x14ac:dyDescent="0.35">
      <c r="B184" s="70" t="s">
        <v>680</v>
      </c>
      <c r="C184" s="70" t="s">
        <v>1072</v>
      </c>
      <c r="D184" s="72" t="str">
        <f t="shared" si="27"/>
        <v>MT-Mat</v>
      </c>
      <c r="F184" s="4" t="s">
        <v>455</v>
      </c>
      <c r="G184" s="4" t="s">
        <v>1509</v>
      </c>
      <c r="H184" s="4" t="str">
        <f t="shared" si="25"/>
        <v>NZD-New Zealand Dollar</v>
      </c>
      <c r="N184" s="9" t="s">
        <v>736</v>
      </c>
      <c r="O184" s="29" t="s">
        <v>737</v>
      </c>
      <c r="P184" s="147" t="str">
        <f t="shared" si="26"/>
        <v>PN-Pitcairn</v>
      </c>
      <c r="Q184"/>
      <c r="W184"/>
      <c r="X184"/>
      <c r="AF184" s="22"/>
      <c r="AG184" s="22"/>
      <c r="AH184" s="6"/>
      <c r="AV184" s="53"/>
      <c r="AW184" s="40"/>
      <c r="AX184" s="41"/>
    </row>
    <row r="185" spans="2:50" ht="14.5" x14ac:dyDescent="0.35">
      <c r="B185" s="70" t="s">
        <v>686</v>
      </c>
      <c r="C185" s="70" t="s">
        <v>1073</v>
      </c>
      <c r="D185" s="72" t="str">
        <f t="shared" si="27"/>
        <v>MW-Receptacle, plastic-wrapped</v>
      </c>
      <c r="F185" s="4" t="s">
        <v>1345</v>
      </c>
      <c r="G185" s="4" t="s">
        <v>1510</v>
      </c>
      <c r="H185" s="4" t="str">
        <f t="shared" si="25"/>
        <v>CVE-Cape Verde Escudo</v>
      </c>
      <c r="N185" s="9" t="s">
        <v>738</v>
      </c>
      <c r="O185" s="29" t="s">
        <v>739</v>
      </c>
      <c r="P185" s="147" t="str">
        <f t="shared" si="26"/>
        <v>PR-Puerto Rico</v>
      </c>
      <c r="Q185"/>
      <c r="W185"/>
      <c r="X185"/>
      <c r="AF185" s="22"/>
      <c r="AG185" s="22"/>
      <c r="AH185" s="6"/>
      <c r="AV185" s="53"/>
      <c r="AW185" s="40"/>
      <c r="AX185" s="41"/>
    </row>
    <row r="186" spans="2:50" ht="14.5" x14ac:dyDescent="0.35">
      <c r="B186" s="70" t="s">
        <v>688</v>
      </c>
      <c r="C186" s="70" t="s">
        <v>1074</v>
      </c>
      <c r="D186" s="72" t="str">
        <f t="shared" si="27"/>
        <v>MX-Matchbox</v>
      </c>
      <c r="F186" s="4" t="s">
        <v>1346</v>
      </c>
      <c r="G186" s="4" t="s">
        <v>1511</v>
      </c>
      <c r="H186" s="4" t="str">
        <f t="shared" si="25"/>
        <v>ZMK-Zambian Kwacha</v>
      </c>
      <c r="N186" s="9" t="s">
        <v>740</v>
      </c>
      <c r="O186" s="29" t="s">
        <v>741</v>
      </c>
      <c r="P186" s="147" t="str">
        <f t="shared" si="26"/>
        <v>PS-Palestinian Territory</v>
      </c>
      <c r="Q186"/>
      <c r="W186"/>
      <c r="X186"/>
      <c r="AF186" s="22"/>
      <c r="AG186" s="22"/>
      <c r="AH186" s="6"/>
      <c r="AV186" s="53"/>
      <c r="AW186" s="40"/>
      <c r="AX186" s="41"/>
    </row>
    <row r="187" spans="2:50" ht="14.5" x14ac:dyDescent="0.35">
      <c r="B187" s="70" t="s">
        <v>694</v>
      </c>
      <c r="C187" s="70" t="s">
        <v>1075</v>
      </c>
      <c r="D187" s="72" t="str">
        <f t="shared" si="27"/>
        <v>NA-Not available</v>
      </c>
      <c r="F187" s="4" t="s">
        <v>1347</v>
      </c>
      <c r="G187" s="4" t="s">
        <v>1512</v>
      </c>
      <c r="H187" s="4" t="str">
        <f t="shared" si="25"/>
        <v>ZWL-Zimbabwe Dollar</v>
      </c>
      <c r="N187" s="9" t="s">
        <v>742</v>
      </c>
      <c r="O187" s="29" t="s">
        <v>743</v>
      </c>
      <c r="P187" s="147" t="str">
        <f t="shared" si="26"/>
        <v>PT-Portuguese</v>
      </c>
      <c r="Q187"/>
      <c r="W187"/>
      <c r="X187"/>
      <c r="AF187" s="22"/>
      <c r="AG187" s="22"/>
      <c r="AH187" s="6"/>
      <c r="AV187" s="53"/>
      <c r="AW187" s="40"/>
      <c r="AX187" s="41"/>
    </row>
    <row r="188" spans="2:50" ht="14.5" x14ac:dyDescent="0.35">
      <c r="B188" s="70" t="s">
        <v>698</v>
      </c>
      <c r="C188" s="70" t="s">
        <v>1076</v>
      </c>
      <c r="D188" s="72" t="str">
        <f t="shared" si="27"/>
        <v>NE-Unpacked or unpackaged</v>
      </c>
      <c r="F188" s="28" t="s">
        <v>1348</v>
      </c>
      <c r="G188" s="28" t="s">
        <v>1513</v>
      </c>
      <c r="H188" s="132" t="str">
        <f t="shared" si="25"/>
        <v>XXX-Others</v>
      </c>
      <c r="N188" s="9" t="s">
        <v>744</v>
      </c>
      <c r="O188" s="29" t="s">
        <v>745</v>
      </c>
      <c r="P188" s="147" t="str">
        <f t="shared" si="26"/>
        <v>PW-Palau</v>
      </c>
      <c r="Q188"/>
      <c r="W188"/>
      <c r="X188"/>
      <c r="AF188" s="22"/>
      <c r="AG188" s="22"/>
      <c r="AH188" s="6"/>
      <c r="AV188" s="53"/>
      <c r="AW188" s="40"/>
      <c r="AX188" s="41"/>
    </row>
    <row r="189" spans="2:50" ht="14.5" x14ac:dyDescent="0.35">
      <c r="B189" s="70" t="s">
        <v>700</v>
      </c>
      <c r="C189" s="70" t="s">
        <v>1077</v>
      </c>
      <c r="D189" s="72" t="str">
        <f t="shared" si="27"/>
        <v>NF-Unpacked or unpackaged, single unit</v>
      </c>
      <c r="N189" s="9" t="s">
        <v>746</v>
      </c>
      <c r="O189" s="29" t="s">
        <v>747</v>
      </c>
      <c r="P189" s="147" t="str">
        <f t="shared" si="26"/>
        <v>PY-Paraguay</v>
      </c>
      <c r="Q189"/>
      <c r="W189"/>
      <c r="X189"/>
      <c r="AF189" s="22"/>
      <c r="AG189" s="22"/>
      <c r="AH189" s="6"/>
      <c r="AV189" s="53"/>
      <c r="AW189" s="40"/>
      <c r="AX189" s="41"/>
    </row>
    <row r="190" spans="2:50" ht="14.5" x14ac:dyDescent="0.35">
      <c r="B190" s="70" t="s">
        <v>702</v>
      </c>
      <c r="C190" s="70" t="s">
        <v>1078</v>
      </c>
      <c r="D190" s="72" t="str">
        <f t="shared" si="27"/>
        <v>NG-Unpacked or unpackaged, multiple units</v>
      </c>
      <c r="N190" s="9" t="s">
        <v>748</v>
      </c>
      <c r="O190" s="29" t="s">
        <v>749</v>
      </c>
      <c r="P190" s="147" t="str">
        <f t="shared" si="26"/>
        <v>QA-Qatar</v>
      </c>
      <c r="Q190"/>
      <c r="W190"/>
      <c r="X190"/>
      <c r="AF190" s="22"/>
      <c r="AG190" s="22"/>
      <c r="AH190" s="6"/>
      <c r="AV190" s="53"/>
      <c r="AW190" s="40"/>
      <c r="AX190" s="41"/>
    </row>
    <row r="191" spans="2:50" ht="14.5" x14ac:dyDescent="0.35">
      <c r="B191" s="70" t="s">
        <v>1079</v>
      </c>
      <c r="C191" s="70" t="s">
        <v>1080</v>
      </c>
      <c r="D191" s="72" t="str">
        <f t="shared" si="27"/>
        <v>NS-Nest</v>
      </c>
      <c r="N191" s="9" t="s">
        <v>750</v>
      </c>
      <c r="O191" s="29" t="s">
        <v>751</v>
      </c>
      <c r="P191" s="147" t="str">
        <f t="shared" si="26"/>
        <v>RE-Réunion</v>
      </c>
      <c r="Q191"/>
      <c r="W191"/>
      <c r="X191"/>
      <c r="AF191" s="22"/>
      <c r="AG191" s="22"/>
      <c r="AH191" s="6"/>
      <c r="AV191" s="53"/>
      <c r="AW191" s="40"/>
      <c r="AX191" s="41"/>
    </row>
    <row r="192" spans="2:50" ht="14.5" x14ac:dyDescent="0.35">
      <c r="B192" s="70" t="s">
        <v>1081</v>
      </c>
      <c r="C192" s="70" t="s">
        <v>1082</v>
      </c>
      <c r="D192" s="72" t="str">
        <f t="shared" si="27"/>
        <v>NT-Net</v>
      </c>
      <c r="N192" s="9" t="s">
        <v>752</v>
      </c>
      <c r="O192" s="29" t="s">
        <v>753</v>
      </c>
      <c r="P192" s="147" t="str">
        <f t="shared" si="26"/>
        <v>RO-Romanian</v>
      </c>
      <c r="Q192"/>
      <c r="W192"/>
      <c r="X192"/>
      <c r="AF192" s="22"/>
      <c r="AG192" s="22"/>
      <c r="AH192" s="6"/>
      <c r="AV192" s="53"/>
      <c r="AW192" s="40"/>
      <c r="AX192" s="41"/>
    </row>
    <row r="193" spans="2:50" ht="14.5" x14ac:dyDescent="0.35">
      <c r="B193" s="70" t="s">
        <v>714</v>
      </c>
      <c r="C193" s="70" t="s">
        <v>1083</v>
      </c>
      <c r="D193" s="72" t="str">
        <f t="shared" si="27"/>
        <v>NU-Net, tube, plastic</v>
      </c>
      <c r="N193" s="9" t="s">
        <v>754</v>
      </c>
      <c r="O193" s="29" t="s">
        <v>755</v>
      </c>
      <c r="P193" s="147" t="str">
        <f t="shared" si="26"/>
        <v>RS-Serbia</v>
      </c>
      <c r="Q193"/>
      <c r="W193"/>
      <c r="X193"/>
      <c r="AF193" s="22"/>
      <c r="AG193" s="22"/>
      <c r="AH193" s="6"/>
      <c r="AV193" s="53"/>
      <c r="AW193" s="40"/>
      <c r="AX193" s="41"/>
    </row>
    <row r="194" spans="2:50" ht="14.5" x14ac:dyDescent="0.35">
      <c r="B194" s="70" t="s">
        <v>1084</v>
      </c>
      <c r="C194" s="70" t="s">
        <v>1085</v>
      </c>
      <c r="D194" s="72" t="str">
        <f t="shared" si="27"/>
        <v>NV-Net, tube, textile</v>
      </c>
      <c r="N194" s="9" t="s">
        <v>756</v>
      </c>
      <c r="O194" s="29" t="s">
        <v>757</v>
      </c>
      <c r="P194" s="147" t="str">
        <f t="shared" si="26"/>
        <v>RU-Russian</v>
      </c>
      <c r="Q194"/>
      <c r="W194"/>
      <c r="X194"/>
      <c r="AF194" s="22"/>
      <c r="AG194" s="22"/>
      <c r="AH194" s="6"/>
      <c r="AV194" s="53"/>
      <c r="AW194" s="40"/>
      <c r="AX194" s="41"/>
    </row>
    <row r="195" spans="2:50" ht="14.5" x14ac:dyDescent="0.35">
      <c r="B195" s="70" t="s">
        <v>1811</v>
      </c>
      <c r="C195" s="70" t="s">
        <v>1838</v>
      </c>
      <c r="D195" s="72" t="str">
        <f t="shared" si="27"/>
        <v>O1-Two sided cage on wheels with fixing strap</v>
      </c>
      <c r="N195" s="9" t="s">
        <v>758</v>
      </c>
      <c r="O195" s="29" t="s">
        <v>759</v>
      </c>
      <c r="P195" s="147" t="str">
        <f t="shared" si="26"/>
        <v>RW-Rwanda</v>
      </c>
      <c r="Q195"/>
      <c r="W195"/>
      <c r="X195"/>
      <c r="AF195" s="22"/>
      <c r="AG195" s="22"/>
      <c r="AH195" s="6"/>
      <c r="AV195" s="53"/>
      <c r="AW195" s="40"/>
      <c r="AX195" s="41"/>
    </row>
    <row r="196" spans="2:50" ht="14.5" x14ac:dyDescent="0.35">
      <c r="B196" s="70" t="s">
        <v>1812</v>
      </c>
      <c r="C196" s="70" t="s">
        <v>1839</v>
      </c>
      <c r="D196" s="72" t="str">
        <f t="shared" si="27"/>
        <v>O2-Trolley</v>
      </c>
      <c r="N196" s="9" t="s">
        <v>760</v>
      </c>
      <c r="O196" s="29" t="s">
        <v>761</v>
      </c>
      <c r="P196" s="147" t="str">
        <f t="shared" si="26"/>
        <v>SA-Saudi Arabia</v>
      </c>
      <c r="Q196"/>
      <c r="W196"/>
      <c r="X196"/>
      <c r="AF196" s="22"/>
      <c r="AG196" s="22"/>
      <c r="AH196" s="6"/>
      <c r="AV196" s="53"/>
      <c r="AW196" s="40"/>
      <c r="AX196" s="41"/>
    </row>
    <row r="197" spans="2:50" ht="14.5" x14ac:dyDescent="0.35">
      <c r="B197" s="70" t="s">
        <v>1813</v>
      </c>
      <c r="C197" s="70" t="s">
        <v>1840</v>
      </c>
      <c r="D197" s="72" t="str">
        <f t="shared" si="27"/>
        <v>O3-Oneway pallet ISO 0 - 1/2 EURO Pallet</v>
      </c>
      <c r="N197" s="9" t="s">
        <v>762</v>
      </c>
      <c r="O197" s="29" t="s">
        <v>763</v>
      </c>
      <c r="P197" s="147" t="str">
        <f t="shared" ref="P197:P255" si="28">CONCATENATE(N197,"-",O197)</f>
        <v>SB-Solomon Is</v>
      </c>
      <c r="Q197"/>
      <c r="W197"/>
      <c r="X197"/>
      <c r="AF197" s="22"/>
      <c r="AG197" s="22"/>
      <c r="AH197" s="6"/>
      <c r="AV197" s="53"/>
      <c r="AW197" s="40"/>
      <c r="AX197" s="41"/>
    </row>
    <row r="198" spans="2:50" ht="14.5" x14ac:dyDescent="0.35">
      <c r="B198" s="70" t="s">
        <v>1814</v>
      </c>
      <c r="C198" s="70" t="s">
        <v>1841</v>
      </c>
      <c r="D198" s="72" t="str">
        <f t="shared" si="27"/>
        <v>O4-Oneway pallet ISO 1 - 1/1 EURO Pallet</v>
      </c>
      <c r="N198" s="9" t="s">
        <v>764</v>
      </c>
      <c r="O198" s="29" t="s">
        <v>765</v>
      </c>
      <c r="P198" s="147" t="str">
        <f t="shared" si="28"/>
        <v>SC-Seychelles</v>
      </c>
      <c r="Q198"/>
      <c r="W198"/>
      <c r="X198"/>
      <c r="AF198" s="22"/>
      <c r="AG198" s="22"/>
      <c r="AH198" s="6"/>
      <c r="AV198" s="53"/>
      <c r="AW198" s="40"/>
      <c r="AX198" s="41"/>
    </row>
    <row r="199" spans="2:50" ht="14.5" x14ac:dyDescent="0.35">
      <c r="B199" s="70" t="s">
        <v>1815</v>
      </c>
      <c r="C199" s="70" t="s">
        <v>1842</v>
      </c>
      <c r="D199" s="72" t="str">
        <f t="shared" si="27"/>
        <v>O5-Oneway pallet ISO 2 - 2/1 EURO Pallet</v>
      </c>
      <c r="N199" s="9" t="s">
        <v>766</v>
      </c>
      <c r="O199" s="29" t="s">
        <v>767</v>
      </c>
      <c r="P199" s="147" t="str">
        <f t="shared" si="28"/>
        <v>SD-Sudan</v>
      </c>
      <c r="Q199"/>
      <c r="W199"/>
      <c r="X199"/>
      <c r="AF199" s="22"/>
      <c r="AG199" s="22"/>
      <c r="AH199" s="6"/>
      <c r="AV199" s="53"/>
      <c r="AW199" s="40"/>
      <c r="AX199" s="41"/>
    </row>
    <row r="200" spans="2:50" ht="14.5" x14ac:dyDescent="0.35">
      <c r="B200" s="70" t="s">
        <v>1816</v>
      </c>
      <c r="C200" s="70" t="s">
        <v>1843</v>
      </c>
      <c r="D200" s="72" t="str">
        <f t="shared" si="27"/>
        <v>O6-Pallet with exceptional dimensions</v>
      </c>
      <c r="N200" s="9" t="s">
        <v>768</v>
      </c>
      <c r="O200" s="29" t="s">
        <v>769</v>
      </c>
      <c r="P200" s="147" t="str">
        <f t="shared" si="28"/>
        <v>SE-Swedish</v>
      </c>
      <c r="Q200"/>
      <c r="W200"/>
      <c r="X200"/>
      <c r="AF200" s="22"/>
      <c r="AG200" s="22"/>
      <c r="AH200" s="6"/>
      <c r="AV200" s="53"/>
      <c r="AW200" s="40"/>
      <c r="AX200" s="41"/>
    </row>
    <row r="201" spans="2:50" ht="14.5" x14ac:dyDescent="0.35">
      <c r="B201" s="70" t="s">
        <v>1817</v>
      </c>
      <c r="C201" s="70" t="s">
        <v>1844</v>
      </c>
      <c r="D201" s="72" t="str">
        <f t="shared" si="27"/>
        <v>O7-Wooden pallet 40 cm x 80 cm</v>
      </c>
      <c r="N201" s="9" t="s">
        <v>770</v>
      </c>
      <c r="O201" s="29" t="s">
        <v>771</v>
      </c>
      <c r="P201" s="147" t="str">
        <f t="shared" si="28"/>
        <v>SG-Singapore</v>
      </c>
      <c r="Q201"/>
      <c r="W201"/>
      <c r="X201"/>
      <c r="AF201" s="22"/>
      <c r="AG201" s="22"/>
      <c r="AH201" s="6"/>
      <c r="AV201" s="53"/>
      <c r="AW201" s="40"/>
      <c r="AX201" s="41"/>
    </row>
    <row r="202" spans="2:50" ht="14.5" x14ac:dyDescent="0.35">
      <c r="B202" s="70" t="s">
        <v>1818</v>
      </c>
      <c r="C202" s="70" t="s">
        <v>1845</v>
      </c>
      <c r="D202" s="72" t="str">
        <f t="shared" si="27"/>
        <v>O8-Plastic pallet SRS 60 cm x 80 cm</v>
      </c>
      <c r="N202" s="9" t="s">
        <v>772</v>
      </c>
      <c r="O202" s="29" t="s">
        <v>773</v>
      </c>
      <c r="P202" s="147" t="str">
        <f t="shared" si="28"/>
        <v>SH-Saint Helena</v>
      </c>
      <c r="Q202"/>
      <c r="W202"/>
      <c r="X202"/>
      <c r="AF202" s="22"/>
      <c r="AG202" s="22"/>
      <c r="AH202" s="6"/>
      <c r="AV202" s="53"/>
      <c r="AW202" s="40"/>
      <c r="AX202" s="41"/>
    </row>
    <row r="203" spans="2:50" ht="14.5" x14ac:dyDescent="0.35">
      <c r="B203" s="70" t="s">
        <v>1819</v>
      </c>
      <c r="C203" s="70" t="s">
        <v>1846</v>
      </c>
      <c r="D203" s="72" t="str">
        <f t="shared" si="27"/>
        <v>O9-Plastic pallet SRS 80 cm x 120 cm</v>
      </c>
      <c r="N203" s="9" t="s">
        <v>774</v>
      </c>
      <c r="O203" s="29" t="s">
        <v>775</v>
      </c>
      <c r="P203" s="147" t="str">
        <f t="shared" si="28"/>
        <v>SI-Slovenian</v>
      </c>
      <c r="Q203"/>
      <c r="W203"/>
      <c r="X203"/>
      <c r="AF203" s="22"/>
      <c r="AG203" s="22"/>
      <c r="AH203" s="6"/>
      <c r="AV203" s="53"/>
      <c r="AW203" s="40"/>
      <c r="AX203" s="41"/>
    </row>
    <row r="204" spans="2:50" ht="14.5" x14ac:dyDescent="0.35">
      <c r="B204" s="70" t="s">
        <v>1086</v>
      </c>
      <c r="C204" s="70" t="s">
        <v>1087</v>
      </c>
      <c r="D204" s="72" t="str">
        <f t="shared" si="27"/>
        <v>OA-Paleta, CHEP 40 cm x 60 cm</v>
      </c>
      <c r="N204" s="9" t="s">
        <v>776</v>
      </c>
      <c r="O204" s="29" t="s">
        <v>777</v>
      </c>
      <c r="P204" s="147" t="str">
        <f t="shared" si="28"/>
        <v>SJ-Svalbard and Jan Mayen</v>
      </c>
      <c r="Q204"/>
      <c r="W204"/>
      <c r="X204"/>
      <c r="AV204" s="53"/>
      <c r="AW204" s="40"/>
      <c r="AX204" s="41"/>
    </row>
    <row r="205" spans="2:50" ht="14.5" x14ac:dyDescent="0.35">
      <c r="B205" s="70" t="s">
        <v>1088</v>
      </c>
      <c r="C205" s="70" t="s">
        <v>1089</v>
      </c>
      <c r="D205" s="72" t="str">
        <f t="shared" si="27"/>
        <v>OB-Paleta, CHEP 80 cm x 120 cm</v>
      </c>
      <c r="N205" s="9" t="s">
        <v>778</v>
      </c>
      <c r="O205" s="29" t="s">
        <v>779</v>
      </c>
      <c r="P205" s="147" t="str">
        <f t="shared" si="28"/>
        <v>SK-Slovak</v>
      </c>
      <c r="Q205"/>
      <c r="W205"/>
      <c r="X205"/>
      <c r="AV205" s="53"/>
      <c r="AW205" s="40"/>
      <c r="AX205" s="41"/>
    </row>
    <row r="206" spans="2:50" ht="14.5" x14ac:dyDescent="0.35">
      <c r="B206" s="70" t="s">
        <v>1090</v>
      </c>
      <c r="C206" s="70" t="s">
        <v>1091</v>
      </c>
      <c r="D206" s="72" t="str">
        <f t="shared" si="27"/>
        <v>OC-Paleta, CHEP 100 cm x 120 cm</v>
      </c>
      <c r="N206" s="9" t="s">
        <v>780</v>
      </c>
      <c r="O206" s="29" t="s">
        <v>781</v>
      </c>
      <c r="P206" s="147" t="str">
        <f t="shared" si="28"/>
        <v>SL-Sierra Leone</v>
      </c>
      <c r="Q206"/>
      <c r="W206"/>
      <c r="X206"/>
      <c r="AV206" s="53"/>
      <c r="AW206" s="41"/>
      <c r="AX206" s="41"/>
    </row>
    <row r="207" spans="2:50" ht="14.5" x14ac:dyDescent="0.35">
      <c r="B207" s="70" t="s">
        <v>1092</v>
      </c>
      <c r="C207" s="70" t="s">
        <v>1093</v>
      </c>
      <c r="D207" s="72" t="str">
        <f t="shared" si="27"/>
        <v>OD-Paleta, AS 4068-1993</v>
      </c>
      <c r="N207" s="9" t="s">
        <v>782</v>
      </c>
      <c r="O207" s="29" t="s">
        <v>783</v>
      </c>
      <c r="P207" s="147" t="str">
        <f t="shared" si="28"/>
        <v>SM-San Marino</v>
      </c>
      <c r="Q207"/>
      <c r="W207"/>
      <c r="X207"/>
      <c r="AV207" s="53"/>
      <c r="AW207" s="40"/>
      <c r="AX207" s="41"/>
    </row>
    <row r="208" spans="2:50" ht="14.5" x14ac:dyDescent="0.35">
      <c r="B208" s="70" t="s">
        <v>1094</v>
      </c>
      <c r="C208" s="70" t="s">
        <v>1095</v>
      </c>
      <c r="D208" s="72" t="str">
        <f t="shared" si="27"/>
        <v>OE-Paleta, ISO T11</v>
      </c>
      <c r="N208" s="9" t="s">
        <v>784</v>
      </c>
      <c r="O208" s="29" t="s">
        <v>785</v>
      </c>
      <c r="P208" s="147" t="str">
        <f t="shared" si="28"/>
        <v>SN-Senegal</v>
      </c>
      <c r="Q208"/>
      <c r="W208"/>
      <c r="X208"/>
      <c r="AV208" s="53"/>
      <c r="AW208" s="40"/>
      <c r="AX208" s="41"/>
    </row>
    <row r="209" spans="2:50" ht="29" x14ac:dyDescent="0.35">
      <c r="B209" s="70" t="s">
        <v>1096</v>
      </c>
      <c r="C209" s="70" t="s">
        <v>1097</v>
      </c>
      <c r="D209" s="72" t="str">
        <f t="shared" si="27"/>
        <v>OF-Plataforma de peso o dimensión indeterminados</v>
      </c>
      <c r="N209" s="9" t="s">
        <v>786</v>
      </c>
      <c r="O209" s="29" t="s">
        <v>787</v>
      </c>
      <c r="P209" s="147" t="str">
        <f t="shared" si="28"/>
        <v>SO-Somalia</v>
      </c>
      <c r="Q209"/>
      <c r="W209"/>
      <c r="X209"/>
      <c r="AV209" s="53"/>
      <c r="AW209" s="40"/>
      <c r="AX209" s="41"/>
    </row>
    <row r="210" spans="2:50" ht="14.5" x14ac:dyDescent="0.35">
      <c r="B210" s="70" t="s">
        <v>1820</v>
      </c>
      <c r="C210" s="70" t="s">
        <v>1847</v>
      </c>
      <c r="D210" s="72" t="str">
        <f t="shared" si="27"/>
        <v>OG-Pallet ISO 0 - 1/2 EURO Pallet</v>
      </c>
      <c r="N210" s="9" t="s">
        <v>788</v>
      </c>
      <c r="O210" s="29" t="s">
        <v>789</v>
      </c>
      <c r="P210" s="147" t="str">
        <f t="shared" si="28"/>
        <v>SR-Suriname</v>
      </c>
      <c r="Q210"/>
      <c r="W210"/>
      <c r="X210"/>
      <c r="AV210" s="53"/>
      <c r="AW210" s="40"/>
      <c r="AX210" s="41"/>
    </row>
    <row r="211" spans="2:50" ht="14.5" x14ac:dyDescent="0.35">
      <c r="B211" s="70" t="s">
        <v>1821</v>
      </c>
      <c r="C211" s="70" t="s">
        <v>1848</v>
      </c>
      <c r="D211" s="72" t="str">
        <f t="shared" si="27"/>
        <v>OH-Pallet ISO 1 - 1/1 EURO Pallet</v>
      </c>
      <c r="N211" s="149" t="s">
        <v>1198</v>
      </c>
      <c r="O211" s="149" t="s">
        <v>2131</v>
      </c>
      <c r="P211" s="148" t="str">
        <f>CONCATENATE(N211,"-",O211)</f>
        <v>SS-South Sudan</v>
      </c>
      <c r="Q211"/>
      <c r="W211"/>
      <c r="X211"/>
      <c r="AV211" s="53"/>
      <c r="AW211" s="40"/>
      <c r="AX211" s="41"/>
    </row>
    <row r="212" spans="2:50" ht="14.5" x14ac:dyDescent="0.35">
      <c r="B212" s="70" t="s">
        <v>1822</v>
      </c>
      <c r="C212" s="70" t="s">
        <v>1849</v>
      </c>
      <c r="D212" s="72" t="str">
        <f t="shared" si="27"/>
        <v>OI-Pallet ISO 2 – 2/1 EURO Pallet</v>
      </c>
      <c r="N212" s="9" t="s">
        <v>790</v>
      </c>
      <c r="O212" s="29" t="s">
        <v>791</v>
      </c>
      <c r="P212" s="147" t="str">
        <f t="shared" si="28"/>
        <v>ST-Sao Tome and Principe</v>
      </c>
      <c r="Q212"/>
      <c r="W212"/>
      <c r="X212"/>
      <c r="AV212" s="53"/>
      <c r="AW212" s="40"/>
      <c r="AX212" s="41"/>
    </row>
    <row r="213" spans="2:50" ht="14.5" x14ac:dyDescent="0.35">
      <c r="B213" s="70" t="s">
        <v>1823</v>
      </c>
      <c r="C213" s="70" t="s">
        <v>1850</v>
      </c>
      <c r="D213" s="72" t="str">
        <f t="shared" si="27"/>
        <v>OJ-1/4 EURO Pallet</v>
      </c>
      <c r="N213" s="9" t="s">
        <v>792</v>
      </c>
      <c r="O213" s="29" t="s">
        <v>793</v>
      </c>
      <c r="P213" s="147" t="str">
        <f t="shared" si="28"/>
        <v>SV-El Salvador</v>
      </c>
      <c r="Q213"/>
      <c r="W213"/>
      <c r="X213"/>
      <c r="AV213" s="53"/>
      <c r="AW213" s="40"/>
      <c r="AX213" s="41"/>
    </row>
    <row r="214" spans="2:50" ht="14.5" x14ac:dyDescent="0.35">
      <c r="B214" s="70" t="s">
        <v>1098</v>
      </c>
      <c r="C214" s="70" t="s">
        <v>1099</v>
      </c>
      <c r="D214" s="72" t="str">
        <f t="shared" si="27"/>
        <v>OK-Bloque</v>
      </c>
      <c r="N214" s="149" t="s">
        <v>1206</v>
      </c>
      <c r="O214" s="149" t="s">
        <v>2132</v>
      </c>
      <c r="P214" s="148" t="str">
        <f>CONCATENATE(N214,"-",O214)</f>
        <v>SX-Sint Maarten (Dutch part)</v>
      </c>
      <c r="Q214"/>
      <c r="W214"/>
      <c r="X214"/>
      <c r="AV214" s="53"/>
      <c r="AW214" s="40"/>
      <c r="AX214" s="41"/>
    </row>
    <row r="215" spans="2:50" ht="14.5" x14ac:dyDescent="0.35">
      <c r="B215" s="70" t="s">
        <v>1824</v>
      </c>
      <c r="C215" s="70" t="s">
        <v>1851</v>
      </c>
      <c r="D215" s="72" t="str">
        <f t="shared" si="27"/>
        <v>OL-1/8 EURO Pallet</v>
      </c>
      <c r="N215" s="9" t="s">
        <v>794</v>
      </c>
      <c r="O215" s="29" t="s">
        <v>795</v>
      </c>
      <c r="P215" s="147" t="str">
        <f t="shared" si="28"/>
        <v>SY-Syrian Arab Republic</v>
      </c>
      <c r="Q215"/>
      <c r="W215"/>
      <c r="X215"/>
      <c r="AV215" s="53"/>
      <c r="AW215" s="40"/>
      <c r="AX215" s="41"/>
    </row>
    <row r="216" spans="2:50" ht="14.5" x14ac:dyDescent="0.35">
      <c r="B216" s="70" t="s">
        <v>718</v>
      </c>
      <c r="C216" s="70" t="s">
        <v>1852</v>
      </c>
      <c r="D216" s="72" t="str">
        <f t="shared" si="27"/>
        <v>OM-Synthetic pallet ISO 1</v>
      </c>
      <c r="N216" s="9" t="s">
        <v>796</v>
      </c>
      <c r="O216" s="29" t="s">
        <v>797</v>
      </c>
      <c r="P216" s="147" t="str">
        <f t="shared" si="28"/>
        <v>SZ-Swaziland</v>
      </c>
      <c r="Q216"/>
      <c r="W216"/>
      <c r="X216"/>
      <c r="AV216" s="53"/>
      <c r="AW216" s="40"/>
      <c r="AX216" s="41"/>
    </row>
    <row r="217" spans="2:50" ht="14.5" x14ac:dyDescent="0.35">
      <c r="B217" s="70" t="s">
        <v>1825</v>
      </c>
      <c r="C217" s="70" t="s">
        <v>1853</v>
      </c>
      <c r="D217" s="72" t="str">
        <f t="shared" si="27"/>
        <v>ON-Synthetic pallet ISO 2</v>
      </c>
      <c r="N217" s="9" t="s">
        <v>798</v>
      </c>
      <c r="O217" s="29" t="s">
        <v>799</v>
      </c>
      <c r="P217" s="147" t="str">
        <f t="shared" si="28"/>
        <v>TC-Turks and Caicos Is</v>
      </c>
      <c r="Q217"/>
      <c r="W217"/>
      <c r="X217"/>
      <c r="AV217" s="53"/>
      <c r="AW217" s="40"/>
      <c r="AX217" s="41"/>
    </row>
    <row r="218" spans="2:50" ht="14.5" x14ac:dyDescent="0.35">
      <c r="B218" s="70" t="s">
        <v>1826</v>
      </c>
      <c r="C218" s="70" t="s">
        <v>1854</v>
      </c>
      <c r="D218" s="72" t="str">
        <f t="shared" si="27"/>
        <v>OP-Wholesaler pallet</v>
      </c>
      <c r="N218" s="9" t="s">
        <v>800</v>
      </c>
      <c r="O218" s="29" t="s">
        <v>801</v>
      </c>
      <c r="P218" s="147" t="str">
        <f t="shared" si="28"/>
        <v>TD-Chad</v>
      </c>
      <c r="Q218"/>
      <c r="W218"/>
      <c r="X218"/>
      <c r="AV218" s="53"/>
      <c r="AW218" s="40"/>
      <c r="AX218" s="41"/>
    </row>
    <row r="219" spans="2:50" ht="14.5" x14ac:dyDescent="0.35">
      <c r="B219" s="70" t="s">
        <v>1827</v>
      </c>
      <c r="C219" s="70" t="s">
        <v>1855</v>
      </c>
      <c r="D219" s="72" t="str">
        <f t="shared" si="27"/>
        <v>OQ-Pallet 80 X 100 cm</v>
      </c>
      <c r="N219" s="9" t="s">
        <v>802</v>
      </c>
      <c r="O219" s="29" t="s">
        <v>803</v>
      </c>
      <c r="P219" s="147" t="str">
        <f t="shared" si="28"/>
        <v>TF-French S Terr</v>
      </c>
      <c r="Q219"/>
      <c r="W219"/>
      <c r="X219"/>
      <c r="AV219" s="53"/>
      <c r="AW219" s="40"/>
      <c r="AX219" s="41"/>
    </row>
    <row r="220" spans="2:50" ht="14.5" x14ac:dyDescent="0.35">
      <c r="B220" s="70" t="s">
        <v>1828</v>
      </c>
      <c r="C220" s="70" t="s">
        <v>1856</v>
      </c>
      <c r="D220" s="72" t="str">
        <f t="shared" si="27"/>
        <v>OR-Pallet 60 X 100 cm</v>
      </c>
      <c r="N220" s="9" t="s">
        <v>804</v>
      </c>
      <c r="O220" s="29" t="s">
        <v>805</v>
      </c>
      <c r="P220" s="147" t="str">
        <f t="shared" si="28"/>
        <v>TG-Togo</v>
      </c>
      <c r="Q220"/>
      <c r="W220"/>
      <c r="X220"/>
      <c r="AV220" s="53"/>
      <c r="AW220" s="40"/>
      <c r="AX220" s="41"/>
    </row>
    <row r="221" spans="2:50" ht="14.5" x14ac:dyDescent="0.35">
      <c r="B221" s="70" t="s">
        <v>1829</v>
      </c>
      <c r="C221" s="70" t="s">
        <v>1857</v>
      </c>
      <c r="D221" s="72" t="str">
        <f t="shared" si="27"/>
        <v>OS-Oneway pallet</v>
      </c>
      <c r="N221" s="9" t="s">
        <v>806</v>
      </c>
      <c r="O221" s="29" t="s">
        <v>807</v>
      </c>
      <c r="P221" s="147" t="str">
        <f t="shared" si="28"/>
        <v>TH-Thailand</v>
      </c>
      <c r="Q221"/>
      <c r="W221"/>
      <c r="X221"/>
      <c r="AV221" s="53"/>
      <c r="AW221" s="40"/>
      <c r="AX221" s="41"/>
    </row>
    <row r="222" spans="2:50" ht="29" x14ac:dyDescent="0.35">
      <c r="B222" s="70" t="s">
        <v>1100</v>
      </c>
      <c r="C222" s="70" t="s">
        <v>1101</v>
      </c>
      <c r="D222" s="72" t="str">
        <f t="shared" si="27"/>
        <v>OT-Gran contenedor de cartón octogonal (octabin)</v>
      </c>
      <c r="N222" s="9" t="s">
        <v>808</v>
      </c>
      <c r="O222" s="29" t="s">
        <v>809</v>
      </c>
      <c r="P222" s="147" t="str">
        <f t="shared" si="28"/>
        <v>TJ-Tajikistan</v>
      </c>
      <c r="Q222"/>
      <c r="W222"/>
      <c r="X222"/>
      <c r="AV222" s="53"/>
      <c r="AW222" s="40"/>
      <c r="AX222" s="41"/>
    </row>
    <row r="223" spans="2:50" ht="14.5" x14ac:dyDescent="0.35">
      <c r="B223" s="70" t="s">
        <v>1102</v>
      </c>
      <c r="C223" s="70" t="s">
        <v>1103</v>
      </c>
      <c r="D223" s="72" t="str">
        <f t="shared" ref="D223:D286" si="29">CONCATENATE(B223,"-",C223)</f>
        <v>OU-Contenedor exterior</v>
      </c>
      <c r="N223" s="9" t="s">
        <v>810</v>
      </c>
      <c r="O223" s="29" t="s">
        <v>811</v>
      </c>
      <c r="P223" s="147" t="str">
        <f t="shared" si="28"/>
        <v>TK-Tokelau</v>
      </c>
      <c r="Q223"/>
      <c r="W223"/>
      <c r="X223"/>
      <c r="AV223" s="53"/>
      <c r="AW223" s="40"/>
      <c r="AX223" s="41"/>
    </row>
    <row r="224" spans="2:50" ht="14.5" x14ac:dyDescent="0.35">
      <c r="B224" s="70" t="s">
        <v>1830</v>
      </c>
      <c r="C224" s="70" t="s">
        <v>1858</v>
      </c>
      <c r="D224" s="72" t="str">
        <f t="shared" si="29"/>
        <v>OV-Returnable pallet</v>
      </c>
      <c r="N224" s="9" t="s">
        <v>812</v>
      </c>
      <c r="O224" s="29" t="s">
        <v>813</v>
      </c>
      <c r="P224" s="147" t="str">
        <f t="shared" si="28"/>
        <v>TL-Timor-Leste</v>
      </c>
      <c r="Q224"/>
      <c r="W224"/>
      <c r="X224"/>
      <c r="AV224" s="53"/>
      <c r="AW224" s="40"/>
      <c r="AX224" s="41"/>
    </row>
    <row r="225" spans="2:50" ht="14.5" x14ac:dyDescent="0.35">
      <c r="B225" s="70" t="s">
        <v>1831</v>
      </c>
      <c r="C225" s="70" t="s">
        <v>1859</v>
      </c>
      <c r="D225" s="72" t="str">
        <f t="shared" si="29"/>
        <v>OW-Large bag, pallet sized</v>
      </c>
      <c r="N225" s="9" t="s">
        <v>814</v>
      </c>
      <c r="O225" s="29" t="s">
        <v>815</v>
      </c>
      <c r="P225" s="147" t="str">
        <f t="shared" si="28"/>
        <v>TM-Turkmenistan</v>
      </c>
      <c r="Q225"/>
      <c r="W225"/>
      <c r="X225"/>
      <c r="AV225" s="53"/>
      <c r="AW225" s="40"/>
      <c r="AX225" s="41"/>
    </row>
    <row r="226" spans="2:50" ht="29" x14ac:dyDescent="0.35">
      <c r="B226" s="70" t="s">
        <v>1832</v>
      </c>
      <c r="C226" s="70" t="s">
        <v>1860</v>
      </c>
      <c r="D226" s="72" t="str">
        <f t="shared" si="29"/>
        <v>OX-A wheeled pallet with raised rim (81 x 67 x 135)</v>
      </c>
      <c r="N226" s="9" t="s">
        <v>816</v>
      </c>
      <c r="O226" s="29" t="s">
        <v>817</v>
      </c>
      <c r="P226" s="147" t="str">
        <f t="shared" si="28"/>
        <v>TN-Tunisia</v>
      </c>
      <c r="Q226"/>
      <c r="W226"/>
      <c r="X226"/>
      <c r="AV226" s="53"/>
      <c r="AW226" s="40"/>
      <c r="AX226" s="41"/>
    </row>
    <row r="227" spans="2:50" ht="29" x14ac:dyDescent="0.35">
      <c r="B227" s="70" t="s">
        <v>1833</v>
      </c>
      <c r="C227" s="70" t="s">
        <v>1861</v>
      </c>
      <c r="D227" s="72" t="str">
        <f t="shared" si="29"/>
        <v>OY-A Wheeled pallet with raised rim (81 x 72 x 135)</v>
      </c>
      <c r="N227" s="9" t="s">
        <v>818</v>
      </c>
      <c r="O227" s="29" t="s">
        <v>819</v>
      </c>
      <c r="P227" s="147" t="str">
        <f t="shared" si="28"/>
        <v>TO-Tonga</v>
      </c>
      <c r="Q227"/>
      <c r="W227"/>
      <c r="X227"/>
      <c r="AV227" s="53"/>
      <c r="AW227" s="40"/>
      <c r="AX227" s="41"/>
    </row>
    <row r="228" spans="2:50" ht="29" x14ac:dyDescent="0.35">
      <c r="B228" s="70" t="s">
        <v>1834</v>
      </c>
      <c r="C228" s="70" t="s">
        <v>1862</v>
      </c>
      <c r="D228" s="72" t="str">
        <f t="shared" si="29"/>
        <v>OZ-Wheeled pallet with raised rim ( 81 x 60 x 16)</v>
      </c>
      <c r="N228" s="9" t="s">
        <v>820</v>
      </c>
      <c r="O228" s="29" t="s">
        <v>821</v>
      </c>
      <c r="P228" s="147" t="str">
        <f t="shared" si="28"/>
        <v>TR-Turkish</v>
      </c>
      <c r="Q228"/>
      <c r="W228"/>
      <c r="X228"/>
      <c r="AV228" s="53"/>
      <c r="AW228" s="40"/>
      <c r="AX228" s="41"/>
    </row>
    <row r="229" spans="2:50" ht="14.5" x14ac:dyDescent="0.35">
      <c r="B229" s="70" t="s">
        <v>1835</v>
      </c>
      <c r="C229" s="70" t="s">
        <v>1863</v>
      </c>
      <c r="D229" s="72" t="str">
        <f t="shared" si="29"/>
        <v>P1-CHEP pallet 60 cm x 80 cm</v>
      </c>
      <c r="N229" s="9" t="s">
        <v>822</v>
      </c>
      <c r="O229" s="29" t="s">
        <v>823</v>
      </c>
      <c r="P229" s="147" t="str">
        <f t="shared" si="28"/>
        <v>TT-Trinidad and Tobago</v>
      </c>
      <c r="Q229"/>
      <c r="W229"/>
      <c r="X229"/>
      <c r="AV229" s="53"/>
      <c r="AW229" s="40"/>
      <c r="AX229" s="41"/>
    </row>
    <row r="230" spans="2:50" ht="14.5" x14ac:dyDescent="0.35">
      <c r="B230" s="70" t="s">
        <v>1104</v>
      </c>
      <c r="C230" s="70" t="s">
        <v>1105</v>
      </c>
      <c r="D230" s="72" t="str">
        <f t="shared" si="29"/>
        <v>P2-Bandeja (pan)</v>
      </c>
      <c r="N230" s="9" t="s">
        <v>824</v>
      </c>
      <c r="O230" s="29" t="s">
        <v>825</v>
      </c>
      <c r="P230" s="147" t="str">
        <f t="shared" si="28"/>
        <v>TV-Tuvalu</v>
      </c>
      <c r="Q230"/>
      <c r="W230"/>
      <c r="X230"/>
      <c r="AV230" s="53"/>
      <c r="AW230" s="40"/>
      <c r="AX230" s="41"/>
    </row>
    <row r="231" spans="2:50" ht="14.5" x14ac:dyDescent="0.35">
      <c r="B231" s="70" t="s">
        <v>1836</v>
      </c>
      <c r="C231" s="70" t="s">
        <v>1864</v>
      </c>
      <c r="D231" s="72" t="str">
        <f t="shared" si="29"/>
        <v>P3-LPR pallet 60 cm x 80 cm</v>
      </c>
      <c r="N231" s="9" t="s">
        <v>826</v>
      </c>
      <c r="O231" s="29" t="s">
        <v>827</v>
      </c>
      <c r="P231" s="147" t="str">
        <f t="shared" si="28"/>
        <v>TW-Taiwan</v>
      </c>
      <c r="Q231"/>
      <c r="W231"/>
      <c r="X231"/>
      <c r="AV231" s="53"/>
      <c r="AW231" s="40"/>
      <c r="AX231" s="41"/>
    </row>
    <row r="232" spans="2:50" ht="14.5" x14ac:dyDescent="0.35">
      <c r="B232" s="70" t="s">
        <v>1837</v>
      </c>
      <c r="C232" s="70" t="s">
        <v>1865</v>
      </c>
      <c r="D232" s="72" t="str">
        <f t="shared" si="29"/>
        <v>P4-LPR pallet 80 cm x 120 cm</v>
      </c>
      <c r="N232" s="9" t="s">
        <v>828</v>
      </c>
      <c r="O232" s="29" t="s">
        <v>829</v>
      </c>
      <c r="P232" s="147" t="str">
        <f t="shared" si="28"/>
        <v>TZ-Tanzania</v>
      </c>
      <c r="Q232"/>
      <c r="W232"/>
      <c r="X232"/>
      <c r="AV232" s="53"/>
      <c r="AW232" s="41"/>
      <c r="AX232" s="41"/>
    </row>
    <row r="233" spans="2:50" ht="14.5" x14ac:dyDescent="0.35">
      <c r="B233" s="70" t="s">
        <v>720</v>
      </c>
      <c r="C233" s="70" t="s">
        <v>1106</v>
      </c>
      <c r="D233" s="72" t="str">
        <f t="shared" si="29"/>
        <v>PA-Packet</v>
      </c>
      <c r="N233" s="9" t="s">
        <v>830</v>
      </c>
      <c r="O233" s="29" t="s">
        <v>831</v>
      </c>
      <c r="P233" s="147" t="str">
        <f t="shared" si="28"/>
        <v>UA-Ukrainian</v>
      </c>
      <c r="Q233"/>
      <c r="W233"/>
      <c r="X233"/>
      <c r="AV233" s="53"/>
      <c r="AW233" s="40"/>
      <c r="AX233" s="41"/>
    </row>
    <row r="234" spans="2:50" ht="14.5" x14ac:dyDescent="0.35">
      <c r="B234" s="70" t="s">
        <v>1107</v>
      </c>
      <c r="C234" s="70" t="s">
        <v>1108</v>
      </c>
      <c r="D234" s="72" t="str">
        <f t="shared" si="29"/>
        <v>PB-Pallet, box</v>
      </c>
      <c r="N234" s="9" t="s">
        <v>832</v>
      </c>
      <c r="O234" s="29" t="s">
        <v>833</v>
      </c>
      <c r="P234" s="147" t="str">
        <f t="shared" si="28"/>
        <v>UG-Uganda</v>
      </c>
      <c r="Q234"/>
      <c r="W234"/>
      <c r="X234"/>
      <c r="AV234" s="53"/>
      <c r="AW234" s="40"/>
      <c r="AX234" s="41"/>
    </row>
    <row r="235" spans="2:50" ht="14.5" x14ac:dyDescent="0.35">
      <c r="B235" s="70" t="s">
        <v>1109</v>
      </c>
      <c r="C235" s="70" t="s">
        <v>1110</v>
      </c>
      <c r="D235" s="72" t="str">
        <f t="shared" si="29"/>
        <v>PC-Parcel</v>
      </c>
      <c r="N235" s="9" t="s">
        <v>834</v>
      </c>
      <c r="O235" s="29" t="s">
        <v>835</v>
      </c>
      <c r="P235" s="147" t="str">
        <f t="shared" si="28"/>
        <v>UM-United States Minor Outlying Islands</v>
      </c>
      <c r="Q235"/>
      <c r="W235"/>
      <c r="X235"/>
      <c r="AV235" s="53"/>
      <c r="AW235" s="40"/>
      <c r="AX235" s="41"/>
    </row>
    <row r="236" spans="2:50" ht="14.5" x14ac:dyDescent="0.35">
      <c r="B236" s="70" t="s">
        <v>1111</v>
      </c>
      <c r="C236" s="70" t="s">
        <v>1112</v>
      </c>
      <c r="D236" s="72" t="str">
        <f t="shared" si="29"/>
        <v>PD-Pallet, modular, collars 80 cm × 100 cm</v>
      </c>
      <c r="N236" s="9" t="s">
        <v>836</v>
      </c>
      <c r="O236" s="29" t="s">
        <v>837</v>
      </c>
      <c r="P236" s="147" t="str">
        <f t="shared" si="28"/>
        <v>US-United States</v>
      </c>
      <c r="Q236"/>
      <c r="W236"/>
      <c r="X236"/>
      <c r="AV236" s="53"/>
      <c r="AW236" s="40"/>
      <c r="AX236" s="41"/>
    </row>
    <row r="237" spans="2:50" ht="14.5" x14ac:dyDescent="0.35">
      <c r="B237" s="70" t="s">
        <v>722</v>
      </c>
      <c r="C237" s="70" t="s">
        <v>1113</v>
      </c>
      <c r="D237" s="72" t="str">
        <f t="shared" si="29"/>
        <v>PE-Pallet, modular, collars 80 cm × 120 cm</v>
      </c>
      <c r="N237" s="9" t="s">
        <v>838</v>
      </c>
      <c r="O237" s="29" t="s">
        <v>839</v>
      </c>
      <c r="P237" s="147" t="str">
        <f t="shared" si="28"/>
        <v>UY-Uruguay</v>
      </c>
      <c r="Q237"/>
      <c r="W237"/>
      <c r="X237"/>
      <c r="AV237" s="53"/>
      <c r="AW237" s="40"/>
      <c r="AX237" s="41"/>
    </row>
    <row r="238" spans="2:50" ht="14.5" x14ac:dyDescent="0.35">
      <c r="B238" s="70" t="s">
        <v>724</v>
      </c>
      <c r="C238" s="70" t="s">
        <v>1114</v>
      </c>
      <c r="D238" s="72" t="str">
        <f t="shared" si="29"/>
        <v>PF-Pen</v>
      </c>
      <c r="N238" s="9" t="s">
        <v>840</v>
      </c>
      <c r="O238" s="29" t="s">
        <v>841</v>
      </c>
      <c r="P238" s="147" t="str">
        <f t="shared" si="28"/>
        <v>UZ-Uzbekistan</v>
      </c>
      <c r="Q238"/>
      <c r="W238"/>
      <c r="X238"/>
      <c r="AV238" s="53"/>
      <c r="AW238" s="40"/>
      <c r="AX238" s="41"/>
    </row>
    <row r="239" spans="2:50" ht="14.5" x14ac:dyDescent="0.35">
      <c r="B239" s="70" t="s">
        <v>726</v>
      </c>
      <c r="C239" s="70" t="s">
        <v>1115</v>
      </c>
      <c r="D239" s="72" t="str">
        <f t="shared" si="29"/>
        <v>PG-Plate</v>
      </c>
      <c r="N239" s="9" t="s">
        <v>842</v>
      </c>
      <c r="O239" s="29" t="s">
        <v>843</v>
      </c>
      <c r="P239" s="147" t="str">
        <f t="shared" si="28"/>
        <v>VA-Holy See</v>
      </c>
      <c r="Q239"/>
      <c r="W239"/>
      <c r="X239"/>
      <c r="AV239" s="53"/>
      <c r="AW239" s="40"/>
      <c r="AX239" s="41"/>
    </row>
    <row r="240" spans="2:50" ht="14.5" x14ac:dyDescent="0.35">
      <c r="B240" s="70" t="s">
        <v>728</v>
      </c>
      <c r="C240" s="70" t="s">
        <v>1116</v>
      </c>
      <c r="D240" s="72" t="str">
        <f t="shared" si="29"/>
        <v>PH-Pitcher</v>
      </c>
      <c r="N240" s="9" t="s">
        <v>844</v>
      </c>
      <c r="O240" s="29" t="s">
        <v>845</v>
      </c>
      <c r="P240" s="147" t="str">
        <f t="shared" si="28"/>
        <v>VC-St Vincent/Grenadines</v>
      </c>
      <c r="Q240"/>
      <c r="W240"/>
      <c r="X240"/>
      <c r="AV240" s="53"/>
      <c r="AW240" s="40"/>
      <c r="AX240" s="41"/>
    </row>
    <row r="241" spans="2:50" ht="14.5" x14ac:dyDescent="0.35">
      <c r="B241" s="70" t="s">
        <v>1117</v>
      </c>
      <c r="C241" s="70" t="s">
        <v>1118</v>
      </c>
      <c r="D241" s="72" t="str">
        <f t="shared" si="29"/>
        <v>PI-Pipe</v>
      </c>
      <c r="N241" s="9" t="s">
        <v>846</v>
      </c>
      <c r="O241" s="29" t="s">
        <v>847</v>
      </c>
      <c r="P241" s="147" t="str">
        <f t="shared" si="28"/>
        <v>VE-Venezuela</v>
      </c>
      <c r="Q241"/>
      <c r="W241"/>
      <c r="X241"/>
      <c r="AV241" s="53"/>
      <c r="AW241" s="40"/>
      <c r="AX241" s="41"/>
    </row>
    <row r="242" spans="2:50" ht="14.5" x14ac:dyDescent="0.35">
      <c r="B242" s="70" t="s">
        <v>1119</v>
      </c>
      <c r="C242" s="70" t="s">
        <v>1120</v>
      </c>
      <c r="D242" s="72" t="str">
        <f t="shared" si="29"/>
        <v>PJ-Punnet</v>
      </c>
      <c r="N242" s="9" t="s">
        <v>848</v>
      </c>
      <c r="O242" s="29" t="s">
        <v>849</v>
      </c>
      <c r="P242" s="147" t="str">
        <f t="shared" si="28"/>
        <v>VG-Virgin Is, British</v>
      </c>
      <c r="Q242"/>
      <c r="W242"/>
      <c r="X242"/>
      <c r="AV242" s="53"/>
      <c r="AW242" s="41"/>
      <c r="AX242" s="41"/>
    </row>
    <row r="243" spans="2:50" ht="14.5" x14ac:dyDescent="0.35">
      <c r="B243" s="70" t="s">
        <v>730</v>
      </c>
      <c r="C243" s="70" t="s">
        <v>1121</v>
      </c>
      <c r="D243" s="72" t="str">
        <f t="shared" si="29"/>
        <v>PK-Package</v>
      </c>
      <c r="N243" s="9" t="s">
        <v>850</v>
      </c>
      <c r="O243" s="29" t="s">
        <v>851</v>
      </c>
      <c r="P243" s="147" t="str">
        <f t="shared" si="28"/>
        <v>VI-Virgin Is, U.S.</v>
      </c>
      <c r="Q243"/>
      <c r="W243"/>
      <c r="X243"/>
      <c r="AV243" s="53"/>
      <c r="AW243" s="40"/>
      <c r="AX243" s="41"/>
    </row>
    <row r="244" spans="2:50" ht="14.5" x14ac:dyDescent="0.35">
      <c r="B244" s="70" t="s">
        <v>732</v>
      </c>
      <c r="C244" s="70" t="s">
        <v>1122</v>
      </c>
      <c r="D244" s="72" t="str">
        <f t="shared" si="29"/>
        <v>PL-Pail</v>
      </c>
      <c r="N244" s="9" t="s">
        <v>852</v>
      </c>
      <c r="O244" s="29" t="s">
        <v>853</v>
      </c>
      <c r="P244" s="147" t="str">
        <f t="shared" si="28"/>
        <v>VN-Viet Nam</v>
      </c>
      <c r="Q244"/>
      <c r="W244"/>
      <c r="X244"/>
      <c r="AV244" s="53"/>
      <c r="AW244" s="40"/>
      <c r="AX244" s="41"/>
    </row>
    <row r="245" spans="2:50" ht="14.5" x14ac:dyDescent="0.35">
      <c r="B245" s="70" t="s">
        <v>736</v>
      </c>
      <c r="C245" s="70" t="s">
        <v>1123</v>
      </c>
      <c r="D245" s="72" t="str">
        <f t="shared" si="29"/>
        <v>PN-Plank</v>
      </c>
      <c r="N245" s="9" t="s">
        <v>854</v>
      </c>
      <c r="O245" s="29" t="s">
        <v>855</v>
      </c>
      <c r="P245" s="147" t="str">
        <f t="shared" si="28"/>
        <v>VU-Vanuatu</v>
      </c>
      <c r="Q245"/>
      <c r="W245"/>
      <c r="X245"/>
    </row>
    <row r="246" spans="2:50" ht="14.5" x14ac:dyDescent="0.35">
      <c r="B246" s="70" t="s">
        <v>1124</v>
      </c>
      <c r="C246" s="70" t="s">
        <v>1125</v>
      </c>
      <c r="D246" s="72" t="str">
        <f t="shared" si="29"/>
        <v>PO-Pouch</v>
      </c>
      <c r="N246" s="9" t="s">
        <v>856</v>
      </c>
      <c r="O246" s="29" t="s">
        <v>857</v>
      </c>
      <c r="P246" s="147" t="str">
        <f t="shared" si="28"/>
        <v>WF-Wallis and Futuna</v>
      </c>
      <c r="Q246"/>
      <c r="W246"/>
      <c r="X246"/>
    </row>
    <row r="247" spans="2:50" ht="14.5" x14ac:dyDescent="0.35">
      <c r="B247" s="70" t="s">
        <v>1126</v>
      </c>
      <c r="C247" s="70" t="s">
        <v>1127</v>
      </c>
      <c r="D247" s="72" t="str">
        <f t="shared" si="29"/>
        <v>PP-Pieza suelta</v>
      </c>
      <c r="N247" s="9" t="s">
        <v>139</v>
      </c>
      <c r="O247" s="29" t="s">
        <v>858</v>
      </c>
      <c r="P247" s="147" t="str">
        <f t="shared" si="28"/>
        <v>WS-Samoa</v>
      </c>
      <c r="Q247"/>
      <c r="W247"/>
      <c r="X247"/>
    </row>
    <row r="248" spans="2:50" ht="14.5" x14ac:dyDescent="0.35">
      <c r="B248" s="70" t="s">
        <v>738</v>
      </c>
      <c r="C248" s="70" t="s">
        <v>1128</v>
      </c>
      <c r="D248" s="72" t="str">
        <f t="shared" si="29"/>
        <v>PR-Receptacle, plastic</v>
      </c>
      <c r="N248" s="9" t="s">
        <v>859</v>
      </c>
      <c r="O248" s="29" t="s">
        <v>860</v>
      </c>
      <c r="P248" s="147" t="str">
        <f t="shared" si="28"/>
        <v>YE-Yemen</v>
      </c>
      <c r="Q248"/>
      <c r="W248"/>
      <c r="X248"/>
    </row>
    <row r="249" spans="2:50" ht="14.5" x14ac:dyDescent="0.35">
      <c r="B249" s="70" t="s">
        <v>742</v>
      </c>
      <c r="C249" s="70" t="s">
        <v>1129</v>
      </c>
      <c r="D249" s="72" t="str">
        <f t="shared" si="29"/>
        <v>PT-Pot</v>
      </c>
      <c r="N249" s="9" t="s">
        <v>172</v>
      </c>
      <c r="O249" s="29" t="s">
        <v>861</v>
      </c>
      <c r="P249" s="147" t="str">
        <f t="shared" si="28"/>
        <v>YT-Mayotte</v>
      </c>
      <c r="Q249"/>
      <c r="W249"/>
      <c r="X249"/>
    </row>
    <row r="250" spans="2:50" ht="14.5" x14ac:dyDescent="0.35">
      <c r="B250" s="70" t="s">
        <v>1130</v>
      </c>
      <c r="C250" s="70" t="s">
        <v>1131</v>
      </c>
      <c r="D250" s="72" t="str">
        <f t="shared" si="29"/>
        <v>PU-Tray/Tray pack</v>
      </c>
      <c r="N250" s="9" t="s">
        <v>178</v>
      </c>
      <c r="O250" s="29" t="s">
        <v>862</v>
      </c>
      <c r="P250" s="147" t="str">
        <f t="shared" si="28"/>
        <v>ZA-South Africa</v>
      </c>
      <c r="Q250"/>
      <c r="W250"/>
      <c r="X250"/>
    </row>
    <row r="251" spans="2:50" ht="14.5" x14ac:dyDescent="0.35">
      <c r="B251" s="70" t="s">
        <v>1132</v>
      </c>
      <c r="C251" s="70" t="s">
        <v>1133</v>
      </c>
      <c r="D251" s="72" t="str">
        <f t="shared" si="29"/>
        <v>PV-Pipes, in bundle/bunch/truss</v>
      </c>
      <c r="N251" s="9" t="s">
        <v>188</v>
      </c>
      <c r="O251" s="29" t="s">
        <v>863</v>
      </c>
      <c r="P251" s="147" t="str">
        <f t="shared" si="28"/>
        <v>ZM-Zambia</v>
      </c>
      <c r="Q251"/>
      <c r="W251"/>
      <c r="X251"/>
    </row>
    <row r="252" spans="2:50" ht="14.5" x14ac:dyDescent="0.35">
      <c r="B252" s="70" t="s">
        <v>1134</v>
      </c>
      <c r="C252" s="70" t="s">
        <v>1135</v>
      </c>
      <c r="D252" s="72" t="str">
        <f t="shared" si="29"/>
        <v>PX-Pallet</v>
      </c>
      <c r="N252" s="9" t="s">
        <v>197</v>
      </c>
      <c r="O252" s="29" t="s">
        <v>864</v>
      </c>
      <c r="P252" s="147" t="str">
        <f t="shared" si="28"/>
        <v>ZW-Zimbabwe</v>
      </c>
      <c r="Q252"/>
      <c r="W252"/>
      <c r="X252"/>
    </row>
    <row r="253" spans="2:50" ht="14.5" x14ac:dyDescent="0.35">
      <c r="B253" s="70" t="s">
        <v>746</v>
      </c>
      <c r="C253" s="70" t="s">
        <v>1136</v>
      </c>
      <c r="D253" s="72" t="str">
        <f t="shared" si="29"/>
        <v>PY-Plates, in bundle/bunch/truss</v>
      </c>
      <c r="N253" s="149" t="s">
        <v>149</v>
      </c>
      <c r="O253" s="149" t="s">
        <v>2133</v>
      </c>
      <c r="P253" s="148" t="str">
        <f>CONCATENATE(N253,"-",O253)</f>
        <v>XC-Ceuta</v>
      </c>
      <c r="Q253"/>
      <c r="W253"/>
      <c r="X253"/>
    </row>
    <row r="254" spans="2:50" ht="26" x14ac:dyDescent="0.35">
      <c r="B254" s="70" t="s">
        <v>1137</v>
      </c>
      <c r="C254" s="70" t="s">
        <v>1138</v>
      </c>
      <c r="D254" s="72" t="str">
        <f t="shared" si="29"/>
        <v>PZ-Pipes/planks, in bundle/bunch/truss</v>
      </c>
      <c r="N254" s="149" t="s">
        <v>2134</v>
      </c>
      <c r="O254" s="149" t="s">
        <v>2135</v>
      </c>
      <c r="P254" s="148" t="str">
        <f>CONCATENATE(N254,"-",O254)</f>
        <v>XI-United Kingdom (Northern Ireland)</v>
      </c>
      <c r="Q254"/>
      <c r="W254"/>
      <c r="X254"/>
    </row>
    <row r="255" spans="2:50" ht="14.5" x14ac:dyDescent="0.35">
      <c r="B255" s="70" t="s">
        <v>748</v>
      </c>
      <c r="C255" s="70" t="s">
        <v>1139</v>
      </c>
      <c r="D255" s="72" t="str">
        <f t="shared" si="29"/>
        <v>QA-Drum, steel, non-removable head</v>
      </c>
      <c r="N255" s="9" t="s">
        <v>155</v>
      </c>
      <c r="O255" s="29" t="s">
        <v>865</v>
      </c>
      <c r="P255" s="147" t="str">
        <f t="shared" si="28"/>
        <v>XK-Kosovo</v>
      </c>
      <c r="Q255"/>
      <c r="W255"/>
      <c r="X255"/>
    </row>
    <row r="256" spans="2:50" ht="14.5" x14ac:dyDescent="0.35">
      <c r="B256" s="70" t="s">
        <v>1140</v>
      </c>
      <c r="C256" s="70" t="s">
        <v>1141</v>
      </c>
      <c r="D256" s="72" t="str">
        <f t="shared" si="29"/>
        <v>QB-Drum, steel, removable head</v>
      </c>
      <c r="N256" s="150" t="s">
        <v>2136</v>
      </c>
      <c r="O256" s="150" t="s">
        <v>2137</v>
      </c>
      <c r="P256" s="151" t="str">
        <f>CONCATENATE(N256,"-",O256)</f>
        <v>XL-Melilla</v>
      </c>
      <c r="Q256"/>
      <c r="W256"/>
      <c r="X256"/>
    </row>
    <row r="257" spans="2:24" ht="14.5" x14ac:dyDescent="0.35">
      <c r="B257" s="70" t="s">
        <v>1142</v>
      </c>
      <c r="C257" s="70" t="s">
        <v>1143</v>
      </c>
      <c r="D257" s="72" t="str">
        <f t="shared" si="29"/>
        <v>QC-Drum, aluminium, non-removable head</v>
      </c>
      <c r="O257" s="10"/>
      <c r="Q257"/>
      <c r="W257"/>
      <c r="X257"/>
    </row>
    <row r="258" spans="2:24" ht="14.5" x14ac:dyDescent="0.35">
      <c r="B258" s="70" t="s">
        <v>1144</v>
      </c>
      <c r="C258" s="70" t="s">
        <v>1145</v>
      </c>
      <c r="D258" s="72" t="str">
        <f t="shared" si="29"/>
        <v>QD-Drum, aluminium, removable head</v>
      </c>
      <c r="O258" s="10"/>
      <c r="Q258"/>
      <c r="W258"/>
      <c r="X258"/>
    </row>
    <row r="259" spans="2:24" ht="14.5" x14ac:dyDescent="0.35">
      <c r="B259" s="70" t="s">
        <v>1146</v>
      </c>
      <c r="C259" s="70" t="s">
        <v>1147</v>
      </c>
      <c r="D259" s="72" t="str">
        <f t="shared" si="29"/>
        <v>QF-Drum, plastic, non-removable head</v>
      </c>
      <c r="O259" s="10"/>
      <c r="Q259"/>
      <c r="W259"/>
      <c r="X259"/>
    </row>
    <row r="260" spans="2:24" ht="14.5" x14ac:dyDescent="0.35">
      <c r="B260" s="70" t="s">
        <v>1148</v>
      </c>
      <c r="C260" s="70" t="s">
        <v>1149</v>
      </c>
      <c r="D260" s="72" t="str">
        <f t="shared" si="29"/>
        <v>QG-Drum, plastic, removable head</v>
      </c>
      <c r="O260" s="10"/>
      <c r="Q260"/>
      <c r="W260"/>
      <c r="X260"/>
    </row>
    <row r="261" spans="2:24" ht="14.5" x14ac:dyDescent="0.35">
      <c r="B261" s="70" t="s">
        <v>1150</v>
      </c>
      <c r="C261" s="70" t="s">
        <v>1151</v>
      </c>
      <c r="D261" s="72" t="str">
        <f t="shared" si="29"/>
        <v>QH-Barrel, wooden, bung type</v>
      </c>
      <c r="O261" s="10"/>
      <c r="Q261"/>
      <c r="W261"/>
      <c r="X261"/>
    </row>
    <row r="262" spans="2:24" ht="14.5" x14ac:dyDescent="0.35">
      <c r="B262" s="70" t="s">
        <v>1152</v>
      </c>
      <c r="C262" s="70" t="s">
        <v>1153</v>
      </c>
      <c r="D262" s="72" t="str">
        <f t="shared" si="29"/>
        <v>QJ-Barrel, wooden, removable head</v>
      </c>
      <c r="O262" s="10"/>
      <c r="Q262"/>
      <c r="W262"/>
      <c r="X262"/>
    </row>
    <row r="263" spans="2:24" ht="14.5" x14ac:dyDescent="0.35">
      <c r="B263" s="70" t="s">
        <v>1154</v>
      </c>
      <c r="C263" s="70" t="s">
        <v>1155</v>
      </c>
      <c r="D263" s="72" t="str">
        <f t="shared" si="29"/>
        <v>QK-Jerrycan, steel, non-removable head</v>
      </c>
      <c r="O263" s="10"/>
      <c r="Q263"/>
      <c r="W263"/>
      <c r="X263"/>
    </row>
    <row r="264" spans="2:24" ht="14.5" x14ac:dyDescent="0.35">
      <c r="B264" s="70" t="s">
        <v>1156</v>
      </c>
      <c r="C264" s="70" t="s">
        <v>1157</v>
      </c>
      <c r="D264" s="72" t="str">
        <f t="shared" si="29"/>
        <v>QL-Jerrycan, steel, removable head</v>
      </c>
      <c r="O264" s="10"/>
      <c r="Q264"/>
      <c r="W264"/>
      <c r="X264"/>
    </row>
    <row r="265" spans="2:24" ht="14.5" x14ac:dyDescent="0.35">
      <c r="B265" s="70" t="s">
        <v>1158</v>
      </c>
      <c r="C265" s="70" t="s">
        <v>1159</v>
      </c>
      <c r="D265" s="72" t="str">
        <f t="shared" si="29"/>
        <v>QM-Jerrycan, plastic, non-removable head</v>
      </c>
      <c r="O265" s="10"/>
      <c r="Q265"/>
      <c r="W265"/>
      <c r="X265"/>
    </row>
    <row r="266" spans="2:24" ht="14.5" x14ac:dyDescent="0.35">
      <c r="B266" s="70" t="s">
        <v>1160</v>
      </c>
      <c r="C266" s="70" t="s">
        <v>1161</v>
      </c>
      <c r="D266" s="72" t="str">
        <f t="shared" si="29"/>
        <v>QN-Jerrycan, plastic, removable head</v>
      </c>
      <c r="O266" s="10"/>
      <c r="Q266"/>
      <c r="W266"/>
      <c r="X266"/>
    </row>
    <row r="267" spans="2:24" ht="14.5" x14ac:dyDescent="0.35">
      <c r="B267" s="70" t="s">
        <v>1162</v>
      </c>
      <c r="C267" s="70" t="s">
        <v>1163</v>
      </c>
      <c r="D267" s="72" t="str">
        <f t="shared" si="29"/>
        <v>QP-Box, wooden, natural wood, ordinary</v>
      </c>
      <c r="O267" s="10"/>
      <c r="Q267"/>
      <c r="W267"/>
      <c r="X267"/>
    </row>
    <row r="268" spans="2:24" ht="29" x14ac:dyDescent="0.35">
      <c r="B268" s="70" t="s">
        <v>1164</v>
      </c>
      <c r="C268" s="70" t="s">
        <v>1165</v>
      </c>
      <c r="D268" s="72" t="str">
        <f t="shared" si="29"/>
        <v>QQ-Box, wooden, natural wood, with sift proof walls</v>
      </c>
      <c r="O268" s="10"/>
      <c r="Q268"/>
      <c r="W268"/>
      <c r="X268"/>
    </row>
    <row r="269" spans="2:24" ht="14.5" x14ac:dyDescent="0.35">
      <c r="B269" s="70" t="s">
        <v>1166</v>
      </c>
      <c r="C269" s="70" t="s">
        <v>1167</v>
      </c>
      <c r="D269" s="72" t="str">
        <f t="shared" si="29"/>
        <v>QR-Box, plastic, expanded</v>
      </c>
      <c r="O269" s="10"/>
      <c r="Q269"/>
      <c r="W269"/>
      <c r="X269"/>
    </row>
    <row r="270" spans="2:24" ht="14.5" x14ac:dyDescent="0.35">
      <c r="B270" s="70" t="s">
        <v>1168</v>
      </c>
      <c r="C270" s="70" t="s">
        <v>1169</v>
      </c>
      <c r="D270" s="72" t="str">
        <f t="shared" si="29"/>
        <v>QS-Box, plastic, solid</v>
      </c>
      <c r="O270" s="10"/>
      <c r="Q270"/>
      <c r="W270"/>
      <c r="X270"/>
    </row>
    <row r="271" spans="2:24" ht="14.5" x14ac:dyDescent="0.35">
      <c r="B271" s="70" t="s">
        <v>1170</v>
      </c>
      <c r="C271" s="70" t="s">
        <v>1171</v>
      </c>
      <c r="D271" s="72" t="str">
        <f t="shared" si="29"/>
        <v>RD-Rod</v>
      </c>
      <c r="O271" s="10"/>
      <c r="Q271"/>
      <c r="W271"/>
      <c r="X271"/>
    </row>
    <row r="272" spans="2:24" ht="14.5" x14ac:dyDescent="0.35">
      <c r="B272" s="70" t="s">
        <v>1172</v>
      </c>
      <c r="C272" s="70" t="s">
        <v>1173</v>
      </c>
      <c r="D272" s="72" t="str">
        <f t="shared" si="29"/>
        <v>RG-Ring</v>
      </c>
      <c r="O272" s="10"/>
      <c r="Q272"/>
      <c r="W272"/>
      <c r="X272"/>
    </row>
    <row r="273" spans="2:24" ht="14.5" x14ac:dyDescent="0.35">
      <c r="B273" s="70" t="s">
        <v>1174</v>
      </c>
      <c r="C273" s="70" t="s">
        <v>1175</v>
      </c>
      <c r="D273" s="72" t="str">
        <f t="shared" si="29"/>
        <v>RJ-Rack, clothing hanger</v>
      </c>
      <c r="O273" s="10"/>
      <c r="Q273"/>
      <c r="W273"/>
      <c r="X273"/>
    </row>
    <row r="274" spans="2:24" ht="14.5" x14ac:dyDescent="0.35">
      <c r="B274" s="70" t="s">
        <v>1176</v>
      </c>
      <c r="C274" s="70" t="s">
        <v>1177</v>
      </c>
      <c r="D274" s="72" t="str">
        <f t="shared" si="29"/>
        <v>RK-Rack</v>
      </c>
      <c r="O274" s="10"/>
      <c r="Q274"/>
      <c r="W274"/>
      <c r="X274"/>
    </row>
    <row r="275" spans="2:24" ht="14.5" x14ac:dyDescent="0.35">
      <c r="B275" s="70" t="s">
        <v>1178</v>
      </c>
      <c r="C275" s="70" t="s">
        <v>1179</v>
      </c>
      <c r="D275" s="72" t="str">
        <f t="shared" si="29"/>
        <v>RL-Reel</v>
      </c>
      <c r="O275" s="10"/>
      <c r="Q275"/>
      <c r="W275"/>
      <c r="X275"/>
    </row>
    <row r="276" spans="2:24" ht="14.5" x14ac:dyDescent="0.35">
      <c r="B276" s="70" t="s">
        <v>752</v>
      </c>
      <c r="C276" s="70" t="s">
        <v>1180</v>
      </c>
      <c r="D276" s="72" t="str">
        <f t="shared" si="29"/>
        <v>RO-Roll</v>
      </c>
      <c r="O276" s="10"/>
      <c r="Q276"/>
      <c r="W276"/>
      <c r="X276"/>
    </row>
    <row r="277" spans="2:24" ht="14.5" x14ac:dyDescent="0.35">
      <c r="B277" s="70" t="s">
        <v>1181</v>
      </c>
      <c r="C277" s="70" t="s">
        <v>1182</v>
      </c>
      <c r="D277" s="72" t="str">
        <f t="shared" si="29"/>
        <v>RT-Rednet</v>
      </c>
      <c r="O277" s="10"/>
      <c r="Q277"/>
      <c r="W277"/>
      <c r="X277"/>
    </row>
    <row r="278" spans="2:24" ht="14.5" x14ac:dyDescent="0.35">
      <c r="B278" s="70" t="s">
        <v>1183</v>
      </c>
      <c r="C278" s="70" t="s">
        <v>1184</v>
      </c>
      <c r="D278" s="72" t="str">
        <f t="shared" si="29"/>
        <v>RZ-Rods, in bundle/bunch/truss</v>
      </c>
      <c r="O278" s="10"/>
      <c r="Q278"/>
      <c r="W278"/>
      <c r="X278"/>
    </row>
    <row r="279" spans="2:24" ht="14.5" x14ac:dyDescent="0.35">
      <c r="B279" s="70" t="s">
        <v>760</v>
      </c>
      <c r="C279" s="70" t="s">
        <v>1185</v>
      </c>
      <c r="D279" s="72" t="str">
        <f t="shared" si="29"/>
        <v>SA-Sack</v>
      </c>
      <c r="O279" s="10"/>
      <c r="Q279"/>
      <c r="W279"/>
      <c r="X279"/>
    </row>
    <row r="280" spans="2:24" ht="14.5" x14ac:dyDescent="0.35">
      <c r="B280" s="70" t="s">
        <v>762</v>
      </c>
      <c r="C280" s="70" t="s">
        <v>1186</v>
      </c>
      <c r="D280" s="72" t="str">
        <f t="shared" si="29"/>
        <v>SB-Slab</v>
      </c>
      <c r="O280" s="10"/>
      <c r="Q280"/>
      <c r="W280"/>
      <c r="X280"/>
    </row>
    <row r="281" spans="2:24" ht="14.5" x14ac:dyDescent="0.35">
      <c r="B281" s="70" t="s">
        <v>764</v>
      </c>
      <c r="C281" s="70" t="s">
        <v>1187</v>
      </c>
      <c r="D281" s="72" t="str">
        <f t="shared" si="29"/>
        <v>SC-Shallow crate</v>
      </c>
      <c r="O281" s="10"/>
      <c r="Q281"/>
      <c r="W281"/>
      <c r="X281"/>
    </row>
    <row r="282" spans="2:24" ht="14.5" x14ac:dyDescent="0.35">
      <c r="B282" s="70" t="s">
        <v>766</v>
      </c>
      <c r="C282" s="70" t="s">
        <v>1188</v>
      </c>
      <c r="D282" s="72" t="str">
        <f t="shared" si="29"/>
        <v>SD-Spindle</v>
      </c>
      <c r="O282" s="10"/>
      <c r="Q282"/>
      <c r="W282"/>
      <c r="X282"/>
    </row>
    <row r="283" spans="2:24" ht="14.5" x14ac:dyDescent="0.35">
      <c r="B283" s="70" t="s">
        <v>768</v>
      </c>
      <c r="C283" s="70" t="s">
        <v>1189</v>
      </c>
      <c r="D283" s="72" t="str">
        <f t="shared" si="29"/>
        <v>SE-Sea-chest</v>
      </c>
      <c r="O283" s="10"/>
      <c r="Q283"/>
      <c r="W283"/>
      <c r="X283"/>
    </row>
    <row r="284" spans="2:24" ht="14.5" x14ac:dyDescent="0.35">
      <c r="B284" s="70" t="s">
        <v>772</v>
      </c>
      <c r="C284" s="70" t="s">
        <v>1190</v>
      </c>
      <c r="D284" s="72" t="str">
        <f t="shared" si="29"/>
        <v>SH-Sachet</v>
      </c>
      <c r="O284" s="10"/>
      <c r="Q284"/>
      <c r="W284"/>
      <c r="X284"/>
    </row>
    <row r="285" spans="2:24" ht="14.5" x14ac:dyDescent="0.35">
      <c r="B285" s="70" t="s">
        <v>774</v>
      </c>
      <c r="C285" s="70" t="s">
        <v>1191</v>
      </c>
      <c r="D285" s="72" t="str">
        <f t="shared" si="29"/>
        <v>SI-Skid</v>
      </c>
      <c r="O285" s="10"/>
      <c r="Q285"/>
      <c r="W285"/>
      <c r="X285"/>
    </row>
    <row r="286" spans="2:24" ht="14.5" x14ac:dyDescent="0.35">
      <c r="B286" s="70" t="s">
        <v>778</v>
      </c>
      <c r="C286" s="70" t="s">
        <v>1192</v>
      </c>
      <c r="D286" s="72" t="str">
        <f t="shared" si="29"/>
        <v>SK-Skeleton case</v>
      </c>
      <c r="O286" s="10"/>
      <c r="Q286"/>
      <c r="W286"/>
      <c r="X286"/>
    </row>
    <row r="287" spans="2:24" ht="14.5" x14ac:dyDescent="0.35">
      <c r="B287" s="70" t="s">
        <v>780</v>
      </c>
      <c r="C287" s="70" t="s">
        <v>1193</v>
      </c>
      <c r="D287" s="72" t="str">
        <f t="shared" ref="D287:D350" si="30">CONCATENATE(B287,"-",C287)</f>
        <v>SL-Slipsheet</v>
      </c>
      <c r="O287" s="10"/>
      <c r="Q287"/>
      <c r="W287"/>
      <c r="X287"/>
    </row>
    <row r="288" spans="2:24" ht="14.5" x14ac:dyDescent="0.35">
      <c r="B288" s="70" t="s">
        <v>782</v>
      </c>
      <c r="C288" s="70" t="s">
        <v>1194</v>
      </c>
      <c r="D288" s="72" t="str">
        <f t="shared" si="30"/>
        <v>SM-Sheetmetal</v>
      </c>
      <c r="O288" s="10"/>
      <c r="Q288"/>
      <c r="W288"/>
      <c r="X288"/>
    </row>
    <row r="289" spans="2:24" ht="14.5" x14ac:dyDescent="0.35">
      <c r="B289" s="70" t="s">
        <v>786</v>
      </c>
      <c r="C289" s="70" t="s">
        <v>1195</v>
      </c>
      <c r="D289" s="72" t="str">
        <f t="shared" si="30"/>
        <v>SO-Spool</v>
      </c>
      <c r="O289" s="10"/>
      <c r="Q289"/>
      <c r="W289"/>
      <c r="X289"/>
    </row>
    <row r="290" spans="2:24" ht="14.5" x14ac:dyDescent="0.35">
      <c r="B290" s="70" t="s">
        <v>1196</v>
      </c>
      <c r="C290" s="70" t="s">
        <v>1197</v>
      </c>
      <c r="D290" s="72" t="str">
        <f t="shared" si="30"/>
        <v>SP-Sheet, plastic wrapping</v>
      </c>
      <c r="O290" s="10"/>
      <c r="Q290"/>
      <c r="W290"/>
      <c r="X290"/>
    </row>
    <row r="291" spans="2:24" ht="14.5" x14ac:dyDescent="0.35">
      <c r="B291" s="70" t="s">
        <v>1198</v>
      </c>
      <c r="C291" s="70" t="s">
        <v>1199</v>
      </c>
      <c r="D291" s="72" t="str">
        <f t="shared" si="30"/>
        <v>SS-Case, steel</v>
      </c>
      <c r="O291" s="10"/>
      <c r="Q291"/>
      <c r="W291"/>
      <c r="X291"/>
    </row>
    <row r="292" spans="2:24" ht="14.5" x14ac:dyDescent="0.35">
      <c r="B292" s="70" t="s">
        <v>790</v>
      </c>
      <c r="C292" s="70" t="s">
        <v>1200</v>
      </c>
      <c r="D292" s="72" t="str">
        <f t="shared" si="30"/>
        <v>ST-Sheet</v>
      </c>
      <c r="O292" s="10"/>
      <c r="Q292"/>
      <c r="W292"/>
      <c r="X292"/>
    </row>
    <row r="293" spans="2:24" ht="14.5" x14ac:dyDescent="0.35">
      <c r="B293" s="70" t="s">
        <v>1201</v>
      </c>
      <c r="C293" s="70" t="s">
        <v>1202</v>
      </c>
      <c r="D293" s="72" t="str">
        <f t="shared" si="30"/>
        <v>SU-Suitcase</v>
      </c>
      <c r="O293" s="10"/>
      <c r="Q293"/>
      <c r="W293"/>
      <c r="X293"/>
    </row>
    <row r="294" spans="2:24" ht="14.5" x14ac:dyDescent="0.35">
      <c r="B294" s="70" t="s">
        <v>792</v>
      </c>
      <c r="C294" s="70" t="s">
        <v>1203</v>
      </c>
      <c r="D294" s="72" t="str">
        <f t="shared" si="30"/>
        <v>SV-Envelope, steel</v>
      </c>
      <c r="O294" s="10"/>
      <c r="Q294"/>
      <c r="W294"/>
      <c r="X294"/>
    </row>
    <row r="295" spans="2:24" ht="14.5" x14ac:dyDescent="0.35">
      <c r="B295" s="70" t="s">
        <v>1204</v>
      </c>
      <c r="C295" s="70" t="s">
        <v>1205</v>
      </c>
      <c r="D295" s="72" t="str">
        <f t="shared" si="30"/>
        <v>SW-Shrinkwrapped</v>
      </c>
      <c r="O295" s="10"/>
      <c r="Q295"/>
      <c r="W295"/>
      <c r="X295"/>
    </row>
    <row r="296" spans="2:24" ht="14.5" x14ac:dyDescent="0.35">
      <c r="B296" s="70" t="s">
        <v>1206</v>
      </c>
      <c r="C296" s="70" t="s">
        <v>1207</v>
      </c>
      <c r="D296" s="72" t="str">
        <f t="shared" si="30"/>
        <v>SX-Set</v>
      </c>
      <c r="O296" s="10"/>
      <c r="Q296"/>
      <c r="W296"/>
      <c r="X296"/>
    </row>
    <row r="297" spans="2:24" ht="14.5" x14ac:dyDescent="0.35">
      <c r="B297" s="70" t="s">
        <v>794</v>
      </c>
      <c r="C297" s="70" t="s">
        <v>1208</v>
      </c>
      <c r="D297" s="72" t="str">
        <f t="shared" si="30"/>
        <v>SY-Sleeve</v>
      </c>
      <c r="O297" s="10"/>
      <c r="Q297"/>
      <c r="W297"/>
      <c r="X297"/>
    </row>
    <row r="298" spans="2:24" ht="14.5" x14ac:dyDescent="0.35">
      <c r="B298" s="70" t="s">
        <v>796</v>
      </c>
      <c r="C298" s="70" t="s">
        <v>1209</v>
      </c>
      <c r="D298" s="72" t="str">
        <f t="shared" si="30"/>
        <v>SZ-Sheets, in bundle/bunch/truss</v>
      </c>
      <c r="O298" s="10"/>
      <c r="Q298"/>
      <c r="W298"/>
      <c r="X298"/>
    </row>
    <row r="299" spans="2:24" ht="14.5" x14ac:dyDescent="0.35">
      <c r="B299" s="70" t="s">
        <v>261</v>
      </c>
      <c r="C299" s="70" t="s">
        <v>1210</v>
      </c>
      <c r="D299" s="72" t="str">
        <f t="shared" si="30"/>
        <v>T1-Comprimido (tablet)</v>
      </c>
      <c r="O299" s="10"/>
      <c r="Q299"/>
      <c r="W299"/>
      <c r="X299"/>
    </row>
    <row r="300" spans="2:24" ht="14.5" x14ac:dyDescent="0.35">
      <c r="B300" s="70" t="s">
        <v>1211</v>
      </c>
      <c r="C300" s="70" t="s">
        <v>1212</v>
      </c>
      <c r="D300" s="72" t="str">
        <f t="shared" si="30"/>
        <v>TB-Tub</v>
      </c>
      <c r="O300" s="10"/>
      <c r="Q300"/>
      <c r="W300"/>
      <c r="X300"/>
    </row>
    <row r="301" spans="2:24" ht="14.5" x14ac:dyDescent="0.35">
      <c r="B301" s="70" t="s">
        <v>798</v>
      </c>
      <c r="C301" s="70" t="s">
        <v>1213</v>
      </c>
      <c r="D301" s="72" t="str">
        <f t="shared" si="30"/>
        <v>TC-Tea-chest</v>
      </c>
      <c r="O301" s="10"/>
      <c r="Q301"/>
      <c r="W301"/>
      <c r="X301"/>
    </row>
    <row r="302" spans="2:24" ht="14.5" x14ac:dyDescent="0.35">
      <c r="B302" s="70" t="s">
        <v>800</v>
      </c>
      <c r="C302" s="70" t="s">
        <v>1214</v>
      </c>
      <c r="D302" s="72" t="str">
        <f t="shared" si="30"/>
        <v>TD-Tube, collapsible/Collapsible tube</v>
      </c>
      <c r="O302" s="10"/>
      <c r="Q302"/>
      <c r="W302"/>
      <c r="X302"/>
    </row>
    <row r="303" spans="2:24" ht="14.5" x14ac:dyDescent="0.35">
      <c r="B303" s="70" t="s">
        <v>1215</v>
      </c>
      <c r="C303" s="70" t="s">
        <v>1216</v>
      </c>
      <c r="D303" s="72" t="str">
        <f t="shared" si="30"/>
        <v>TE-Neumático</v>
      </c>
      <c r="O303" s="10"/>
      <c r="Q303"/>
      <c r="W303"/>
      <c r="X303"/>
    </row>
    <row r="304" spans="2:24" ht="14.5" x14ac:dyDescent="0.35">
      <c r="B304" s="70" t="s">
        <v>804</v>
      </c>
      <c r="C304" s="70" t="s">
        <v>1217</v>
      </c>
      <c r="D304" s="72" t="str">
        <f t="shared" si="30"/>
        <v>TG-Tanque contenedor genérico</v>
      </c>
      <c r="O304" s="10"/>
      <c r="Q304"/>
      <c r="W304"/>
      <c r="X304"/>
    </row>
    <row r="305" spans="2:24" ht="14.5" x14ac:dyDescent="0.35">
      <c r="B305" s="70" t="s">
        <v>1218</v>
      </c>
      <c r="C305" s="70" t="s">
        <v>1219</v>
      </c>
      <c r="D305" s="72" t="str">
        <f t="shared" si="30"/>
        <v>TI-Tierce</v>
      </c>
      <c r="O305" s="10"/>
      <c r="Q305"/>
      <c r="W305"/>
      <c r="X305"/>
    </row>
    <row r="306" spans="2:24" ht="14.5" x14ac:dyDescent="0.35">
      <c r="B306" s="70" t="s">
        <v>810</v>
      </c>
      <c r="C306" s="70" t="s">
        <v>1220</v>
      </c>
      <c r="D306" s="72" t="str">
        <f t="shared" si="30"/>
        <v>TK-Tank, rectangular</v>
      </c>
      <c r="O306" s="10"/>
      <c r="Q306"/>
      <c r="W306"/>
      <c r="X306"/>
    </row>
    <row r="307" spans="2:24" ht="14.5" x14ac:dyDescent="0.35">
      <c r="B307" s="70" t="s">
        <v>812</v>
      </c>
      <c r="C307" s="70" t="s">
        <v>1221</v>
      </c>
      <c r="D307" s="72" t="str">
        <f t="shared" si="30"/>
        <v>TL-Tub, with lid</v>
      </c>
      <c r="O307" s="10"/>
      <c r="Q307"/>
      <c r="W307"/>
      <c r="X307"/>
    </row>
    <row r="308" spans="2:24" ht="14.5" x14ac:dyDescent="0.35">
      <c r="B308" s="70" t="s">
        <v>816</v>
      </c>
      <c r="C308" s="70" t="s">
        <v>1222</v>
      </c>
      <c r="D308" s="72" t="str">
        <f t="shared" si="30"/>
        <v>TN-Tin</v>
      </c>
      <c r="O308" s="10"/>
      <c r="Q308"/>
      <c r="W308"/>
      <c r="X308"/>
    </row>
    <row r="309" spans="2:24" ht="14.5" x14ac:dyDescent="0.35">
      <c r="B309" s="70" t="s">
        <v>818</v>
      </c>
      <c r="C309" s="70" t="s">
        <v>1223</v>
      </c>
      <c r="D309" s="72" t="str">
        <f t="shared" si="30"/>
        <v>TO-Tun</v>
      </c>
      <c r="O309" s="10"/>
      <c r="Q309"/>
      <c r="W309"/>
      <c r="X309"/>
    </row>
    <row r="310" spans="2:24" ht="14.5" x14ac:dyDescent="0.35">
      <c r="B310" s="70" t="s">
        <v>820</v>
      </c>
      <c r="C310" s="70" t="s">
        <v>1224</v>
      </c>
      <c r="D310" s="72" t="str">
        <f t="shared" si="30"/>
        <v>TR-Trunk</v>
      </c>
      <c r="O310" s="10"/>
      <c r="Q310"/>
      <c r="W310"/>
      <c r="X310"/>
    </row>
    <row r="311" spans="2:24" ht="14.5" x14ac:dyDescent="0.35">
      <c r="B311" s="70" t="s">
        <v>1225</v>
      </c>
      <c r="C311" s="70" t="s">
        <v>1226</v>
      </c>
      <c r="D311" s="72" t="str">
        <f t="shared" si="30"/>
        <v>TS-Truss</v>
      </c>
      <c r="O311" s="10"/>
      <c r="Q311"/>
      <c r="W311"/>
      <c r="X311"/>
    </row>
    <row r="312" spans="2:24" ht="14.5" x14ac:dyDescent="0.35">
      <c r="B312" s="70" t="s">
        <v>822</v>
      </c>
      <c r="C312" s="70" t="s">
        <v>1227</v>
      </c>
      <c r="D312" s="72" t="str">
        <f t="shared" si="30"/>
        <v>TT-Saco o cesta (bag tote)</v>
      </c>
      <c r="O312" s="10"/>
      <c r="Q312"/>
      <c r="W312"/>
      <c r="X312"/>
    </row>
    <row r="313" spans="2:24" ht="14.5" x14ac:dyDescent="0.35">
      <c r="B313" s="70" t="s">
        <v>1228</v>
      </c>
      <c r="C313" s="70" t="s">
        <v>1229</v>
      </c>
      <c r="D313" s="72" t="str">
        <f t="shared" si="30"/>
        <v>TU-Tube</v>
      </c>
      <c r="O313" s="10"/>
      <c r="Q313"/>
      <c r="W313"/>
      <c r="X313"/>
    </row>
    <row r="314" spans="2:24" ht="14.5" x14ac:dyDescent="0.35">
      <c r="B314" s="70" t="s">
        <v>824</v>
      </c>
      <c r="C314" s="70" t="s">
        <v>1230</v>
      </c>
      <c r="D314" s="72" t="str">
        <f t="shared" si="30"/>
        <v>TV-Tube, with nozzle</v>
      </c>
      <c r="O314" s="10"/>
      <c r="Q314"/>
      <c r="W314"/>
      <c r="X314"/>
    </row>
    <row r="315" spans="2:24" ht="14.5" x14ac:dyDescent="0.35">
      <c r="B315" s="70" t="s">
        <v>826</v>
      </c>
      <c r="C315" s="70" t="s">
        <v>1231</v>
      </c>
      <c r="D315" s="72" t="str">
        <f t="shared" si="30"/>
        <v>TW-Paleta de cartón ondulado</v>
      </c>
      <c r="O315" s="10"/>
      <c r="Q315"/>
      <c r="W315"/>
      <c r="X315"/>
    </row>
    <row r="316" spans="2:24" ht="14.5" x14ac:dyDescent="0.35">
      <c r="B316" s="70" t="s">
        <v>1232</v>
      </c>
      <c r="C316" s="70" t="s">
        <v>1233</v>
      </c>
      <c r="D316" s="72" t="str">
        <f t="shared" si="30"/>
        <v>TY-Tank, cylindrical</v>
      </c>
      <c r="O316" s="10"/>
      <c r="Q316"/>
      <c r="W316"/>
      <c r="X316"/>
    </row>
    <row r="317" spans="2:24" ht="14.5" x14ac:dyDescent="0.35">
      <c r="B317" s="70" t="s">
        <v>828</v>
      </c>
      <c r="C317" s="70" t="s">
        <v>1234</v>
      </c>
      <c r="D317" s="72" t="str">
        <f t="shared" si="30"/>
        <v>TZ-Tube, in bundle/bunch/truss</v>
      </c>
      <c r="O317" s="10"/>
      <c r="Q317"/>
      <c r="W317"/>
      <c r="X317"/>
    </row>
    <row r="318" spans="2:24" ht="14.5" x14ac:dyDescent="0.35">
      <c r="B318" s="70" t="s">
        <v>1235</v>
      </c>
      <c r="C318" s="70" t="s">
        <v>1236</v>
      </c>
      <c r="D318" s="72" t="str">
        <f t="shared" si="30"/>
        <v>UC-Uncaged</v>
      </c>
      <c r="O318" s="10"/>
      <c r="Q318"/>
      <c r="W318"/>
      <c r="X318"/>
    </row>
    <row r="319" spans="2:24" ht="14.5" x14ac:dyDescent="0.35">
      <c r="B319" s="70" t="s">
        <v>1237</v>
      </c>
      <c r="C319" s="70" t="s">
        <v>1238</v>
      </c>
      <c r="D319" s="72" t="str">
        <f t="shared" si="30"/>
        <v>UN-Unidad</v>
      </c>
      <c r="O319" s="10"/>
      <c r="Q319"/>
      <c r="W319"/>
      <c r="X319"/>
    </row>
    <row r="320" spans="2:24" ht="14.5" x14ac:dyDescent="0.35">
      <c r="B320" s="70" t="s">
        <v>842</v>
      </c>
      <c r="C320" s="70" t="s">
        <v>1239</v>
      </c>
      <c r="D320" s="72" t="str">
        <f t="shared" si="30"/>
        <v>VA-Vat</v>
      </c>
      <c r="O320" s="10"/>
      <c r="Q320"/>
      <c r="W320"/>
      <c r="X320"/>
    </row>
    <row r="321" spans="2:24" ht="14.5" x14ac:dyDescent="0.35">
      <c r="B321" s="70" t="s">
        <v>848</v>
      </c>
      <c r="C321" s="70" t="s">
        <v>1240</v>
      </c>
      <c r="D321" s="72" t="str">
        <f t="shared" si="30"/>
        <v>VG-Bulk, gas (at 1031 mbar and 15°C)</v>
      </c>
      <c r="O321" s="10"/>
      <c r="Q321"/>
      <c r="W321"/>
      <c r="X321"/>
    </row>
    <row r="322" spans="2:24" ht="14.5" x14ac:dyDescent="0.35">
      <c r="B322" s="70" t="s">
        <v>850</v>
      </c>
      <c r="C322" s="70" t="s">
        <v>1241</v>
      </c>
      <c r="D322" s="72" t="str">
        <f t="shared" si="30"/>
        <v>VI-Vial</v>
      </c>
      <c r="O322" s="10"/>
      <c r="Q322"/>
      <c r="W322"/>
      <c r="X322"/>
    </row>
    <row r="323" spans="2:24" ht="14.5" x14ac:dyDescent="0.35">
      <c r="B323" s="70" t="s">
        <v>1242</v>
      </c>
      <c r="C323" s="70" t="s">
        <v>1243</v>
      </c>
      <c r="D323" s="72" t="str">
        <f t="shared" si="30"/>
        <v>VK-Vanpack</v>
      </c>
      <c r="O323" s="10"/>
      <c r="Q323"/>
      <c r="W323"/>
      <c r="X323"/>
    </row>
    <row r="324" spans="2:24" ht="14.5" x14ac:dyDescent="0.35">
      <c r="B324" s="70" t="s">
        <v>1244</v>
      </c>
      <c r="C324" s="70" t="s">
        <v>1245</v>
      </c>
      <c r="D324" s="72" t="str">
        <f t="shared" si="30"/>
        <v>VL-Bulk, liquid</v>
      </c>
      <c r="O324" s="10"/>
      <c r="Q324"/>
      <c r="W324"/>
      <c r="X324"/>
    </row>
    <row r="325" spans="2:24" ht="14.5" x14ac:dyDescent="0.35">
      <c r="B325" s="70" t="s">
        <v>852</v>
      </c>
      <c r="C325" s="70" t="s">
        <v>1246</v>
      </c>
      <c r="D325" s="72" t="str">
        <f t="shared" si="30"/>
        <v>VN-Vehículo</v>
      </c>
      <c r="O325" s="10"/>
      <c r="Q325"/>
      <c r="W325"/>
      <c r="X325"/>
    </row>
    <row r="326" spans="2:24" ht="14.5" x14ac:dyDescent="0.35">
      <c r="B326" s="70" t="s">
        <v>1247</v>
      </c>
      <c r="C326" s="70" t="s">
        <v>1248</v>
      </c>
      <c r="D326" s="72" t="str">
        <f t="shared" si="30"/>
        <v>VO-Bulk, solid, large particles ("nodules")</v>
      </c>
      <c r="O326" s="10"/>
      <c r="Q326"/>
      <c r="W326"/>
      <c r="X326"/>
    </row>
    <row r="327" spans="2:24" ht="14.5" x14ac:dyDescent="0.35">
      <c r="B327" s="70" t="s">
        <v>1249</v>
      </c>
      <c r="C327" s="70" t="s">
        <v>1250</v>
      </c>
      <c r="D327" s="72" t="str">
        <f t="shared" si="30"/>
        <v>VP-Vacuum-packed</v>
      </c>
      <c r="O327" s="10"/>
      <c r="Q327"/>
      <c r="W327"/>
      <c r="X327"/>
    </row>
    <row r="328" spans="2:24" ht="29" x14ac:dyDescent="0.35">
      <c r="B328" s="70" t="s">
        <v>1251</v>
      </c>
      <c r="C328" s="70" t="s">
        <v>1252</v>
      </c>
      <c r="D328" s="72" t="str">
        <f t="shared" si="30"/>
        <v>VQ-Bulk, liquefied gas at abnormal temperature</v>
      </c>
      <c r="O328" s="10"/>
      <c r="Q328"/>
      <c r="W328"/>
      <c r="X328"/>
    </row>
    <row r="329" spans="2:24" ht="14.5" x14ac:dyDescent="0.35">
      <c r="B329" s="70" t="s">
        <v>1253</v>
      </c>
      <c r="C329" s="70" t="s">
        <v>1254</v>
      </c>
      <c r="D329" s="72" t="str">
        <f t="shared" si="30"/>
        <v>VR-Bulk, solid, granulated particles ("grains")</v>
      </c>
      <c r="O329" s="10"/>
      <c r="Q329"/>
      <c r="W329"/>
      <c r="X329"/>
    </row>
    <row r="330" spans="2:24" ht="14.5" x14ac:dyDescent="0.35">
      <c r="B330" s="70" t="s">
        <v>1255</v>
      </c>
      <c r="C330" s="70" t="s">
        <v>1256</v>
      </c>
      <c r="D330" s="72" t="str">
        <f t="shared" si="30"/>
        <v>VS-Chatarra a granel</v>
      </c>
      <c r="O330" s="10"/>
      <c r="Q330"/>
      <c r="W330"/>
      <c r="X330"/>
    </row>
    <row r="331" spans="2:24" ht="14.5" x14ac:dyDescent="0.35">
      <c r="B331" s="70" t="s">
        <v>1257</v>
      </c>
      <c r="C331" s="70" t="s">
        <v>1258</v>
      </c>
      <c r="D331" s="72" t="str">
        <f t="shared" si="30"/>
        <v>VY-Bulk, solid, fine particles ("powders")</v>
      </c>
      <c r="O331" s="10"/>
      <c r="Q331"/>
      <c r="W331"/>
      <c r="X331"/>
    </row>
    <row r="332" spans="2:24" ht="14.5" x14ac:dyDescent="0.35">
      <c r="B332" s="70" t="s">
        <v>1259</v>
      </c>
      <c r="C332" s="70" t="s">
        <v>1260</v>
      </c>
      <c r="D332" s="72" t="str">
        <f t="shared" si="30"/>
        <v>WA-Intermediate bulk container</v>
      </c>
      <c r="O332" s="10"/>
      <c r="Q332"/>
      <c r="W332"/>
      <c r="X332"/>
    </row>
    <row r="333" spans="2:24" ht="14.5" x14ac:dyDescent="0.35">
      <c r="B333" s="70" t="s">
        <v>1261</v>
      </c>
      <c r="C333" s="70" t="s">
        <v>1262</v>
      </c>
      <c r="D333" s="72" t="str">
        <f t="shared" si="30"/>
        <v>WB-Wicker bottle</v>
      </c>
      <c r="O333" s="10"/>
      <c r="Q333"/>
      <c r="W333"/>
      <c r="X333"/>
    </row>
    <row r="334" spans="2:24" ht="14.5" x14ac:dyDescent="0.35">
      <c r="B334" s="70" t="s">
        <v>1263</v>
      </c>
      <c r="C334" s="70" t="s">
        <v>1264</v>
      </c>
      <c r="D334" s="72" t="str">
        <f t="shared" si="30"/>
        <v>WC-Intermediate bulk container, steel</v>
      </c>
      <c r="O334" s="10"/>
      <c r="Q334"/>
      <c r="W334"/>
      <c r="X334"/>
    </row>
    <row r="335" spans="2:24" ht="14.5" x14ac:dyDescent="0.35">
      <c r="B335" s="70" t="s">
        <v>1265</v>
      </c>
      <c r="C335" s="70" t="s">
        <v>1266</v>
      </c>
      <c r="D335" s="72" t="str">
        <f t="shared" si="30"/>
        <v>WD-Intermediate bulk container, aluminium</v>
      </c>
      <c r="O335" s="10"/>
      <c r="Q335"/>
      <c r="W335"/>
      <c r="X335"/>
    </row>
    <row r="336" spans="2:24" ht="14.5" x14ac:dyDescent="0.35">
      <c r="B336" s="70" t="s">
        <v>856</v>
      </c>
      <c r="C336" s="70" t="s">
        <v>1267</v>
      </c>
      <c r="D336" s="72" t="str">
        <f t="shared" si="30"/>
        <v>WF-Intermediate bulk container, metal</v>
      </c>
      <c r="O336" s="10"/>
      <c r="Q336"/>
      <c r="W336"/>
      <c r="X336"/>
    </row>
    <row r="337" spans="2:24" ht="29" x14ac:dyDescent="0.35">
      <c r="B337" s="70" t="s">
        <v>1268</v>
      </c>
      <c r="C337" s="70" t="s">
        <v>1269</v>
      </c>
      <c r="D337" s="72" t="str">
        <f t="shared" si="30"/>
        <v>WG-Intermediate bulk container, steel, pressurised &gt; 10 kPa</v>
      </c>
      <c r="O337" s="10"/>
      <c r="Q337"/>
      <c r="W337"/>
      <c r="X337"/>
    </row>
    <row r="338" spans="2:24" ht="29" x14ac:dyDescent="0.35">
      <c r="B338" s="70" t="s">
        <v>1270</v>
      </c>
      <c r="C338" s="70" t="s">
        <v>1271</v>
      </c>
      <c r="D338" s="72" t="str">
        <f t="shared" si="30"/>
        <v>WH-Intermediate bulk container, aluminium, pressurised &gt; 10 kPa</v>
      </c>
      <c r="O338" s="10"/>
      <c r="Q338"/>
      <c r="W338"/>
      <c r="X338"/>
    </row>
    <row r="339" spans="2:24" ht="29" x14ac:dyDescent="0.35">
      <c r="B339" s="70" t="s">
        <v>1272</v>
      </c>
      <c r="C339" s="70" t="s">
        <v>1273</v>
      </c>
      <c r="D339" s="72" t="str">
        <f t="shared" si="30"/>
        <v>WJ-Intermediate bulk container, metal, pressure 10 kPa</v>
      </c>
      <c r="O339" s="10"/>
      <c r="Q339"/>
      <c r="W339"/>
      <c r="X339"/>
    </row>
    <row r="340" spans="2:24" ht="14.5" x14ac:dyDescent="0.35">
      <c r="B340" s="70" t="s">
        <v>1274</v>
      </c>
      <c r="C340" s="70" t="s">
        <v>1275</v>
      </c>
      <c r="D340" s="72" t="str">
        <f t="shared" si="30"/>
        <v>WK-Intermediate bulk container, steel, liquid</v>
      </c>
      <c r="O340" s="10"/>
      <c r="Q340"/>
      <c r="W340"/>
      <c r="X340"/>
    </row>
    <row r="341" spans="2:24" ht="29" x14ac:dyDescent="0.35">
      <c r="B341" s="70" t="s">
        <v>1276</v>
      </c>
      <c r="C341" s="70" t="s">
        <v>1277</v>
      </c>
      <c r="D341" s="72" t="str">
        <f t="shared" si="30"/>
        <v>WL-Intermediate bulk container, aluminium, liquid</v>
      </c>
      <c r="O341" s="10"/>
      <c r="Q341"/>
      <c r="W341"/>
      <c r="X341"/>
    </row>
    <row r="342" spans="2:24" ht="14.5" x14ac:dyDescent="0.35">
      <c r="B342" s="70" t="s">
        <v>1278</v>
      </c>
      <c r="C342" s="70" t="s">
        <v>1279</v>
      </c>
      <c r="D342" s="72" t="str">
        <f t="shared" si="30"/>
        <v>WM-Intermediate bulk container, metal, liquid</v>
      </c>
      <c r="O342" s="10"/>
      <c r="Q342"/>
      <c r="W342"/>
      <c r="X342"/>
    </row>
    <row r="343" spans="2:24" ht="29" x14ac:dyDescent="0.35">
      <c r="B343" s="70" t="s">
        <v>135</v>
      </c>
      <c r="C343" s="70" t="s">
        <v>35</v>
      </c>
      <c r="D343" s="72" t="str">
        <f t="shared" si="30"/>
        <v>WN-Intermediate bulk container, woven plastic, without coat/liner</v>
      </c>
      <c r="O343" s="10"/>
      <c r="Q343"/>
      <c r="W343"/>
      <c r="X343"/>
    </row>
    <row r="344" spans="2:24" ht="29" x14ac:dyDescent="0.35">
      <c r="B344" s="70" t="s">
        <v>136</v>
      </c>
      <c r="C344" s="70" t="s">
        <v>36</v>
      </c>
      <c r="D344" s="72" t="str">
        <f t="shared" si="30"/>
        <v>WP-Intermediate bulk container, woven plastic, coated</v>
      </c>
      <c r="O344" s="10"/>
      <c r="Q344"/>
      <c r="W344"/>
      <c r="X344"/>
    </row>
    <row r="345" spans="2:24" ht="29" x14ac:dyDescent="0.35">
      <c r="B345" s="70" t="s">
        <v>137</v>
      </c>
      <c r="C345" s="70" t="s">
        <v>37</v>
      </c>
      <c r="D345" s="72" t="str">
        <f t="shared" si="30"/>
        <v>WQ-Intermediate bulk container, woven plastic, with liner</v>
      </c>
      <c r="O345" s="10"/>
      <c r="Q345"/>
      <c r="W345"/>
      <c r="X345"/>
    </row>
    <row r="346" spans="2:24" ht="29" x14ac:dyDescent="0.35">
      <c r="B346" s="70" t="s">
        <v>138</v>
      </c>
      <c r="C346" s="70" t="s">
        <v>38</v>
      </c>
      <c r="D346" s="72" t="str">
        <f t="shared" si="30"/>
        <v>WR-Intermediate bulk container, woven plastic, coated and liner</v>
      </c>
      <c r="O346" s="10"/>
      <c r="Q346"/>
      <c r="W346"/>
      <c r="X346"/>
    </row>
    <row r="347" spans="2:24" ht="14.5" x14ac:dyDescent="0.35">
      <c r="B347" s="70" t="s">
        <v>139</v>
      </c>
      <c r="C347" s="70" t="s">
        <v>39</v>
      </c>
      <c r="D347" s="72" t="str">
        <f t="shared" si="30"/>
        <v>WS-Intermediate bulk container, plastic film</v>
      </c>
      <c r="O347" s="10"/>
      <c r="Q347"/>
      <c r="W347"/>
      <c r="X347"/>
    </row>
    <row r="348" spans="2:24" ht="29" x14ac:dyDescent="0.35">
      <c r="B348" s="70" t="s">
        <v>140</v>
      </c>
      <c r="C348" s="70" t="s">
        <v>40</v>
      </c>
      <c r="D348" s="72" t="str">
        <f t="shared" si="30"/>
        <v>WT-Intermediate bulk container, textile without coat/liner</v>
      </c>
      <c r="O348" s="10"/>
      <c r="Q348"/>
      <c r="W348"/>
      <c r="X348"/>
    </row>
    <row r="349" spans="2:24" ht="29" x14ac:dyDescent="0.35">
      <c r="B349" s="70" t="s">
        <v>141</v>
      </c>
      <c r="C349" s="70" t="s">
        <v>41</v>
      </c>
      <c r="D349" s="72" t="str">
        <f t="shared" si="30"/>
        <v>WU-Intermediate bulk container, natural wood, with inner liner</v>
      </c>
      <c r="O349" s="10"/>
      <c r="Q349"/>
      <c r="W349"/>
      <c r="X349"/>
    </row>
    <row r="350" spans="2:24" ht="14.5" x14ac:dyDescent="0.35">
      <c r="B350" s="70" t="s">
        <v>142</v>
      </c>
      <c r="C350" s="70" t="s">
        <v>42</v>
      </c>
      <c r="D350" s="72" t="str">
        <f t="shared" si="30"/>
        <v>WV-Intermediate bulk container, textile, coated</v>
      </c>
      <c r="O350" s="10"/>
      <c r="Q350"/>
      <c r="W350"/>
      <c r="X350"/>
    </row>
    <row r="351" spans="2:24" ht="29" x14ac:dyDescent="0.35">
      <c r="B351" s="70" t="s">
        <v>143</v>
      </c>
      <c r="C351" s="70" t="s">
        <v>43</v>
      </c>
      <c r="D351" s="72" t="str">
        <f t="shared" ref="D351:D408" si="31">CONCATENATE(B351,"-",C351)</f>
        <v>WW-Intermediate bulk container, textile, with liner</v>
      </c>
      <c r="O351" s="10"/>
      <c r="Q351"/>
      <c r="W351"/>
      <c r="X351"/>
    </row>
    <row r="352" spans="2:24" ht="29" x14ac:dyDescent="0.35">
      <c r="B352" s="70" t="s">
        <v>144</v>
      </c>
      <c r="C352" s="70" t="s">
        <v>44</v>
      </c>
      <c r="D352" s="72" t="str">
        <f t="shared" si="31"/>
        <v>WX-Intermediate bulk container, textile, coated and liner</v>
      </c>
      <c r="O352" s="10"/>
      <c r="Q352"/>
      <c r="W352"/>
      <c r="X352"/>
    </row>
    <row r="353" spans="2:24" ht="29" x14ac:dyDescent="0.35">
      <c r="B353" s="70" t="s">
        <v>145</v>
      </c>
      <c r="C353" s="70" t="s">
        <v>45</v>
      </c>
      <c r="D353" s="72" t="str">
        <f t="shared" si="31"/>
        <v>WY-Intermediate bulk container, plywood, with inner liner</v>
      </c>
      <c r="O353" s="10"/>
      <c r="Q353"/>
      <c r="W353"/>
      <c r="X353"/>
    </row>
    <row r="354" spans="2:24" ht="29" x14ac:dyDescent="0.35">
      <c r="B354" s="70" t="s">
        <v>146</v>
      </c>
      <c r="C354" s="70" t="s">
        <v>46</v>
      </c>
      <c r="D354" s="72" t="str">
        <f t="shared" si="31"/>
        <v>WZ-Intermediate bulk container, reconstituted wood, with inner liner</v>
      </c>
      <c r="O354" s="10"/>
      <c r="Q354"/>
      <c r="W354"/>
      <c r="X354"/>
    </row>
    <row r="355" spans="2:24" ht="14.5" x14ac:dyDescent="0.35">
      <c r="B355" s="70" t="s">
        <v>147</v>
      </c>
      <c r="C355" s="70" t="s">
        <v>47</v>
      </c>
      <c r="D355" s="72" t="str">
        <f t="shared" si="31"/>
        <v>XA-Bag, woven plastic, without inner coat/liner</v>
      </c>
      <c r="O355" s="10"/>
      <c r="Q355"/>
      <c r="W355"/>
      <c r="X355"/>
    </row>
    <row r="356" spans="2:24" ht="14.5" x14ac:dyDescent="0.35">
      <c r="B356" s="70" t="s">
        <v>148</v>
      </c>
      <c r="C356" s="70" t="s">
        <v>48</v>
      </c>
      <c r="D356" s="72" t="str">
        <f t="shared" si="31"/>
        <v>XB-Bag, woven plastic, sift proof</v>
      </c>
      <c r="O356" s="10"/>
      <c r="Q356"/>
      <c r="W356"/>
      <c r="X356"/>
    </row>
    <row r="357" spans="2:24" ht="14.5" x14ac:dyDescent="0.35">
      <c r="B357" s="70" t="s">
        <v>149</v>
      </c>
      <c r="C357" s="70" t="s">
        <v>49</v>
      </c>
      <c r="D357" s="72" t="str">
        <f t="shared" si="31"/>
        <v>XC-Bag, woven plastic, water resistant</v>
      </c>
      <c r="O357" s="10"/>
      <c r="Q357"/>
      <c r="W357"/>
      <c r="X357"/>
    </row>
    <row r="358" spans="2:24" ht="14.5" x14ac:dyDescent="0.35">
      <c r="B358" s="70" t="s">
        <v>150</v>
      </c>
      <c r="C358" s="70" t="s">
        <v>50</v>
      </c>
      <c r="D358" s="72" t="str">
        <f t="shared" si="31"/>
        <v>XD-Bag, plastics film</v>
      </c>
      <c r="O358" s="10"/>
      <c r="Q358"/>
      <c r="W358"/>
      <c r="X358"/>
    </row>
    <row r="359" spans="2:24" ht="14.5" x14ac:dyDescent="0.35">
      <c r="B359" s="70" t="s">
        <v>151</v>
      </c>
      <c r="C359" s="70" t="s">
        <v>51</v>
      </c>
      <c r="D359" s="72" t="str">
        <f t="shared" si="31"/>
        <v>XF-Bag, textile, without inner coat/liner</v>
      </c>
      <c r="O359" s="10"/>
      <c r="Q359"/>
      <c r="W359"/>
      <c r="X359"/>
    </row>
    <row r="360" spans="2:24" ht="14.5" x14ac:dyDescent="0.35">
      <c r="B360" s="70" t="s">
        <v>152</v>
      </c>
      <c r="C360" s="70" t="s">
        <v>52</v>
      </c>
      <c r="D360" s="72" t="str">
        <f t="shared" si="31"/>
        <v>XG-Bag, textile, sift proof</v>
      </c>
      <c r="O360" s="10"/>
      <c r="Q360"/>
      <c r="W360"/>
      <c r="X360"/>
    </row>
    <row r="361" spans="2:24" ht="14.5" x14ac:dyDescent="0.35">
      <c r="B361" s="70" t="s">
        <v>153</v>
      </c>
      <c r="C361" s="70" t="s">
        <v>53</v>
      </c>
      <c r="D361" s="72" t="str">
        <f t="shared" si="31"/>
        <v>XH-Bag, textile, water resistant</v>
      </c>
      <c r="O361" s="10"/>
      <c r="Q361"/>
      <c r="W361"/>
      <c r="X361"/>
    </row>
    <row r="362" spans="2:24" ht="14.5" x14ac:dyDescent="0.35">
      <c r="B362" s="70" t="s">
        <v>154</v>
      </c>
      <c r="C362" s="70" t="s">
        <v>54</v>
      </c>
      <c r="D362" s="72" t="str">
        <f t="shared" si="31"/>
        <v>XJ-Bag, paper, multi-wall</v>
      </c>
      <c r="O362" s="10"/>
      <c r="Q362"/>
      <c r="W362"/>
      <c r="X362"/>
    </row>
    <row r="363" spans="2:24" ht="14.5" x14ac:dyDescent="0.35">
      <c r="B363" s="70" t="s">
        <v>155</v>
      </c>
      <c r="C363" s="70" t="s">
        <v>55</v>
      </c>
      <c r="D363" s="72" t="str">
        <f t="shared" si="31"/>
        <v>XK-Bag, paper, multi-wall, water resistant</v>
      </c>
      <c r="O363" s="10"/>
      <c r="Q363"/>
      <c r="W363"/>
      <c r="X363"/>
    </row>
    <row r="364" spans="2:24" ht="29" x14ac:dyDescent="0.35">
      <c r="B364" s="70" t="s">
        <v>156</v>
      </c>
      <c r="C364" s="70" t="s">
        <v>56</v>
      </c>
      <c r="D364" s="72" t="str">
        <f t="shared" si="31"/>
        <v>YA-Composite packaging, plastic receptacle in steel drum</v>
      </c>
      <c r="O364" s="10"/>
      <c r="Q364"/>
      <c r="W364"/>
      <c r="X364"/>
    </row>
    <row r="365" spans="2:24" ht="29" x14ac:dyDescent="0.35">
      <c r="B365" s="70" t="s">
        <v>157</v>
      </c>
      <c r="C365" s="70" t="s">
        <v>57</v>
      </c>
      <c r="D365" s="72" t="str">
        <f t="shared" si="31"/>
        <v>YB-Composite packaging, plastic receptacle in steel crate box</v>
      </c>
      <c r="O365" s="10"/>
      <c r="Q365"/>
      <c r="W365"/>
      <c r="X365"/>
    </row>
    <row r="366" spans="2:24" ht="29" x14ac:dyDescent="0.35">
      <c r="B366" s="70" t="s">
        <v>158</v>
      </c>
      <c r="C366" s="70" t="s">
        <v>58</v>
      </c>
      <c r="D366" s="72" t="str">
        <f t="shared" si="31"/>
        <v>YC-Composite packaging, plastic receptacle in aluminium drum</v>
      </c>
      <c r="O366" s="10"/>
      <c r="Q366"/>
      <c r="W366"/>
      <c r="X366"/>
    </row>
    <row r="367" spans="2:24" ht="29" x14ac:dyDescent="0.35">
      <c r="B367" s="70" t="s">
        <v>159</v>
      </c>
      <c r="C367" s="70" t="s">
        <v>59</v>
      </c>
      <c r="D367" s="72" t="str">
        <f t="shared" si="31"/>
        <v>YD-Composite packaging, plastic receptacle in aluminium crate</v>
      </c>
      <c r="O367" s="10"/>
      <c r="Q367"/>
      <c r="W367"/>
      <c r="X367"/>
    </row>
    <row r="368" spans="2:24" ht="29" x14ac:dyDescent="0.35">
      <c r="B368" s="70" t="s">
        <v>160</v>
      </c>
      <c r="C368" s="70" t="s">
        <v>60</v>
      </c>
      <c r="D368" s="72" t="str">
        <f t="shared" si="31"/>
        <v>YF-Composite packaging, plastic receptacle in wooden box</v>
      </c>
      <c r="O368" s="10"/>
      <c r="Q368"/>
      <c r="W368"/>
      <c r="X368"/>
    </row>
    <row r="369" spans="2:24" ht="29" x14ac:dyDescent="0.35">
      <c r="B369" s="70" t="s">
        <v>161</v>
      </c>
      <c r="C369" s="70" t="s">
        <v>61</v>
      </c>
      <c r="D369" s="72" t="str">
        <f t="shared" si="31"/>
        <v>YG-Composite packaging, plastic receptacle in plywood drum</v>
      </c>
      <c r="O369" s="10"/>
      <c r="Q369"/>
      <c r="W369"/>
      <c r="X369"/>
    </row>
    <row r="370" spans="2:24" ht="29" x14ac:dyDescent="0.35">
      <c r="B370" s="70" t="s">
        <v>162</v>
      </c>
      <c r="C370" s="70" t="s">
        <v>62</v>
      </c>
      <c r="D370" s="72" t="str">
        <f t="shared" si="31"/>
        <v>YH-Composite packaging, plastic receptacle in plywood box</v>
      </c>
      <c r="O370" s="10"/>
      <c r="Q370"/>
      <c r="W370"/>
      <c r="X370"/>
    </row>
    <row r="371" spans="2:24" ht="29" x14ac:dyDescent="0.35">
      <c r="B371" s="70" t="s">
        <v>163</v>
      </c>
      <c r="C371" s="70" t="s">
        <v>63</v>
      </c>
      <c r="D371" s="72" t="str">
        <f t="shared" si="31"/>
        <v>YJ-Composite packaging, plastic receptacle in fibre drum</v>
      </c>
      <c r="O371" s="10"/>
      <c r="Q371"/>
      <c r="W371"/>
      <c r="X371"/>
    </row>
    <row r="372" spans="2:24" ht="29" x14ac:dyDescent="0.35">
      <c r="B372" s="70" t="s">
        <v>164</v>
      </c>
      <c r="C372" s="70" t="s">
        <v>64</v>
      </c>
      <c r="D372" s="72" t="str">
        <f t="shared" si="31"/>
        <v>YK-Composite packaging, plastic receptacle in fibreboard box</v>
      </c>
      <c r="O372" s="10"/>
      <c r="Q372"/>
      <c r="W372"/>
      <c r="X372"/>
    </row>
    <row r="373" spans="2:24" ht="29" x14ac:dyDescent="0.35">
      <c r="B373" s="70" t="s">
        <v>165</v>
      </c>
      <c r="C373" s="70" t="s">
        <v>65</v>
      </c>
      <c r="D373" s="72" t="str">
        <f t="shared" si="31"/>
        <v>YL-Composite packaging, plastic receptacle in plastic drum</v>
      </c>
      <c r="O373" s="10"/>
      <c r="Q373"/>
      <c r="W373"/>
      <c r="X373"/>
    </row>
    <row r="374" spans="2:24" ht="29" x14ac:dyDescent="0.35">
      <c r="B374" s="70" t="s">
        <v>166</v>
      </c>
      <c r="C374" s="70" t="s">
        <v>66</v>
      </c>
      <c r="D374" s="72" t="str">
        <f t="shared" si="31"/>
        <v>YM-Composite packaging, plastic receptacle in solid plastic box</v>
      </c>
      <c r="O374" s="10"/>
      <c r="Q374"/>
      <c r="W374"/>
      <c r="X374"/>
    </row>
    <row r="375" spans="2:24" ht="29" x14ac:dyDescent="0.35">
      <c r="B375" s="70" t="s">
        <v>167</v>
      </c>
      <c r="C375" s="70" t="s">
        <v>67</v>
      </c>
      <c r="D375" s="72" t="str">
        <f t="shared" si="31"/>
        <v>YN-Composite packaging, glass receptacle in steel drum</v>
      </c>
      <c r="O375" s="10"/>
      <c r="Q375"/>
      <c r="W375"/>
      <c r="X375"/>
    </row>
    <row r="376" spans="2:24" ht="29" x14ac:dyDescent="0.35">
      <c r="B376" s="70" t="s">
        <v>168</v>
      </c>
      <c r="C376" s="70" t="s">
        <v>68</v>
      </c>
      <c r="D376" s="72" t="str">
        <f t="shared" si="31"/>
        <v>YP-Composite packaging, glass receptacle in steel crate box</v>
      </c>
      <c r="O376" s="10"/>
      <c r="Q376"/>
      <c r="W376"/>
      <c r="X376"/>
    </row>
    <row r="377" spans="2:24" ht="29" x14ac:dyDescent="0.35">
      <c r="B377" s="70" t="s">
        <v>169</v>
      </c>
      <c r="C377" s="70" t="s">
        <v>69</v>
      </c>
      <c r="D377" s="72" t="str">
        <f t="shared" si="31"/>
        <v>YQ-Composite packaging, glass receptacle in aluminium drum</v>
      </c>
      <c r="O377" s="10"/>
      <c r="Q377"/>
      <c r="W377"/>
      <c r="X377"/>
    </row>
    <row r="378" spans="2:24" ht="29" x14ac:dyDescent="0.35">
      <c r="B378" s="70" t="s">
        <v>170</v>
      </c>
      <c r="C378" s="70" t="s">
        <v>70</v>
      </c>
      <c r="D378" s="72" t="str">
        <f t="shared" si="31"/>
        <v>YR-Composite packaging, glass receptacle in aluminium crate</v>
      </c>
      <c r="O378" s="10"/>
      <c r="Q378"/>
      <c r="W378"/>
      <c r="X378"/>
    </row>
    <row r="379" spans="2:24" ht="29" x14ac:dyDescent="0.35">
      <c r="B379" s="70" t="s">
        <v>171</v>
      </c>
      <c r="C379" s="70" t="s">
        <v>71</v>
      </c>
      <c r="D379" s="72" t="str">
        <f t="shared" si="31"/>
        <v>YS-Composite packaging, glass receptacle in wooden box</v>
      </c>
      <c r="O379" s="10"/>
      <c r="Q379"/>
      <c r="W379"/>
      <c r="X379"/>
    </row>
    <row r="380" spans="2:24" ht="29" x14ac:dyDescent="0.35">
      <c r="B380" s="70" t="s">
        <v>172</v>
      </c>
      <c r="C380" s="70" t="s">
        <v>72</v>
      </c>
      <c r="D380" s="72" t="str">
        <f t="shared" si="31"/>
        <v>YT-Composite packaging, glass receptacle in plywood drum</v>
      </c>
      <c r="O380" s="10"/>
      <c r="Q380"/>
      <c r="W380"/>
      <c r="X380"/>
    </row>
    <row r="381" spans="2:24" ht="29" x14ac:dyDescent="0.35">
      <c r="B381" s="70" t="s">
        <v>173</v>
      </c>
      <c r="C381" s="70" t="s">
        <v>73</v>
      </c>
      <c r="D381" s="72" t="str">
        <f t="shared" si="31"/>
        <v>YV-Composite packaging, glass receptacle in wickerwork hamper</v>
      </c>
      <c r="O381" s="10"/>
      <c r="Q381"/>
      <c r="W381"/>
      <c r="X381"/>
    </row>
    <row r="382" spans="2:24" ht="29" x14ac:dyDescent="0.35">
      <c r="B382" s="70" t="s">
        <v>174</v>
      </c>
      <c r="C382" s="70" t="s">
        <v>74</v>
      </c>
      <c r="D382" s="72" t="str">
        <f t="shared" si="31"/>
        <v>YW-Composite packaging, glass receptacle in fibre drum</v>
      </c>
      <c r="O382" s="10"/>
      <c r="Q382"/>
      <c r="W382"/>
      <c r="X382"/>
    </row>
    <row r="383" spans="2:24" ht="29" x14ac:dyDescent="0.35">
      <c r="B383" s="70" t="s">
        <v>175</v>
      </c>
      <c r="C383" s="70" t="s">
        <v>75</v>
      </c>
      <c r="D383" s="72" t="str">
        <f t="shared" si="31"/>
        <v>YX-Composite packaging, glass receptacle in fibreboard box</v>
      </c>
      <c r="O383" s="10"/>
      <c r="Q383"/>
      <c r="W383"/>
      <c r="X383"/>
    </row>
    <row r="384" spans="2:24" ht="29" x14ac:dyDescent="0.35">
      <c r="B384" s="70" t="s">
        <v>176</v>
      </c>
      <c r="C384" s="70" t="s">
        <v>76</v>
      </c>
      <c r="D384" s="72" t="str">
        <f t="shared" si="31"/>
        <v>YY-Composite packaging, glass receptacle in expandable plastic pack</v>
      </c>
      <c r="O384" s="10"/>
      <c r="Q384"/>
      <c r="W384"/>
      <c r="X384"/>
    </row>
    <row r="385" spans="2:24" ht="29" x14ac:dyDescent="0.35">
      <c r="B385" s="70" t="s">
        <v>177</v>
      </c>
      <c r="C385" s="70" t="s">
        <v>77</v>
      </c>
      <c r="D385" s="72" t="str">
        <f t="shared" si="31"/>
        <v>YZ-Composite packaging, glass receptacle in solid plastic pack</v>
      </c>
      <c r="O385" s="10"/>
      <c r="Q385"/>
      <c r="W385"/>
      <c r="X385"/>
    </row>
    <row r="386" spans="2:24" ht="29" x14ac:dyDescent="0.35">
      <c r="B386" s="70" t="s">
        <v>178</v>
      </c>
      <c r="C386" s="70" t="s">
        <v>78</v>
      </c>
      <c r="D386" s="72" t="str">
        <f t="shared" si="31"/>
        <v>ZA-Intermediate bulk container, paper, multi-wall</v>
      </c>
      <c r="O386" s="10"/>
      <c r="Q386"/>
      <c r="W386"/>
      <c r="X386"/>
    </row>
    <row r="387" spans="2:24" ht="14.5" x14ac:dyDescent="0.35">
      <c r="B387" s="70" t="s">
        <v>179</v>
      </c>
      <c r="C387" s="70" t="s">
        <v>79</v>
      </c>
      <c r="D387" s="72" t="str">
        <f t="shared" si="31"/>
        <v>ZB-Bag, large</v>
      </c>
      <c r="O387" s="10"/>
      <c r="Q387"/>
      <c r="W387"/>
      <c r="X387"/>
    </row>
    <row r="388" spans="2:24" ht="29" x14ac:dyDescent="0.35">
      <c r="B388" s="70" t="s">
        <v>180</v>
      </c>
      <c r="C388" s="70" t="s">
        <v>80</v>
      </c>
      <c r="D388" s="72" t="str">
        <f t="shared" si="31"/>
        <v>ZC-Intermediate bulk container, paper, multi-wall, water resistant</v>
      </c>
      <c r="O388" s="10"/>
      <c r="Q388"/>
      <c r="W388"/>
      <c r="X388"/>
    </row>
    <row r="389" spans="2:24" ht="29" x14ac:dyDescent="0.35">
      <c r="B389" s="70" t="s">
        <v>181</v>
      </c>
      <c r="C389" s="70" t="s">
        <v>81</v>
      </c>
      <c r="D389" s="72" t="str">
        <f t="shared" si="31"/>
        <v>ZD-Intermediate bulk container, rigid plastic, with structural equipment, solids</v>
      </c>
      <c r="O389" s="10"/>
      <c r="Q389"/>
      <c r="W389"/>
      <c r="X389"/>
    </row>
    <row r="390" spans="2:24" ht="29" x14ac:dyDescent="0.35">
      <c r="B390" s="70" t="s">
        <v>182</v>
      </c>
      <c r="C390" s="70" t="s">
        <v>82</v>
      </c>
      <c r="D390" s="72" t="str">
        <f t="shared" si="31"/>
        <v>ZF-Intermediate bulk container, rigid plastic, freestanding, solids</v>
      </c>
      <c r="O390" s="10"/>
      <c r="Q390"/>
      <c r="W390"/>
      <c r="X390"/>
    </row>
    <row r="391" spans="2:24" ht="29" x14ac:dyDescent="0.35">
      <c r="B391" s="70" t="s">
        <v>183</v>
      </c>
      <c r="C391" s="70" t="s">
        <v>83</v>
      </c>
      <c r="D391" s="72" t="str">
        <f t="shared" si="31"/>
        <v>ZG-Intermediate bulk container, rigid plastic, with structural equipment, pressurised</v>
      </c>
      <c r="O391" s="10"/>
      <c r="Q391"/>
      <c r="W391"/>
      <c r="X391"/>
    </row>
    <row r="392" spans="2:24" ht="29" x14ac:dyDescent="0.35">
      <c r="B392" s="70" t="s">
        <v>184</v>
      </c>
      <c r="C392" s="70" t="s">
        <v>84</v>
      </c>
      <c r="D392" s="72" t="str">
        <f t="shared" si="31"/>
        <v>ZH-Intermediate bulk container, rigid plastic, freestanding, pressurised</v>
      </c>
      <c r="O392" s="10"/>
      <c r="Q392"/>
      <c r="W392"/>
      <c r="X392"/>
    </row>
    <row r="393" spans="2:24" ht="29" x14ac:dyDescent="0.35">
      <c r="B393" s="70" t="s">
        <v>185</v>
      </c>
      <c r="C393" s="70" t="s">
        <v>85</v>
      </c>
      <c r="D393" s="72" t="str">
        <f t="shared" si="31"/>
        <v>ZJ-Intermediate bulk container, rigid plastic, with structural equipment, liquids</v>
      </c>
      <c r="O393" s="10"/>
      <c r="Q393"/>
      <c r="W393"/>
      <c r="X393"/>
    </row>
    <row r="394" spans="2:24" ht="29" x14ac:dyDescent="0.35">
      <c r="B394" s="70" t="s">
        <v>186</v>
      </c>
      <c r="C394" s="70" t="s">
        <v>86</v>
      </c>
      <c r="D394" s="72" t="str">
        <f t="shared" si="31"/>
        <v>ZK-Intermediate bulk container, rigid plastic, freestanding, liquids</v>
      </c>
      <c r="O394" s="10"/>
      <c r="Q394"/>
      <c r="W394"/>
      <c r="X394"/>
    </row>
    <row r="395" spans="2:24" ht="29" x14ac:dyDescent="0.35">
      <c r="B395" s="70" t="s">
        <v>187</v>
      </c>
      <c r="C395" s="70" t="s">
        <v>87</v>
      </c>
      <c r="D395" s="72" t="str">
        <f t="shared" si="31"/>
        <v>ZL-Intermediate bulk container, composite, rigid plastic, solids</v>
      </c>
      <c r="O395" s="10"/>
      <c r="Q395"/>
      <c r="W395"/>
      <c r="X395"/>
    </row>
    <row r="396" spans="2:24" ht="29" x14ac:dyDescent="0.35">
      <c r="B396" s="70" t="s">
        <v>188</v>
      </c>
      <c r="C396" s="70" t="s">
        <v>88</v>
      </c>
      <c r="D396" s="72" t="str">
        <f t="shared" si="31"/>
        <v>ZM-Intermediate bulk container, composite, flexible plastic, solids</v>
      </c>
      <c r="O396" s="10"/>
      <c r="Q396"/>
      <c r="W396"/>
      <c r="X396"/>
    </row>
    <row r="397" spans="2:24" ht="29" x14ac:dyDescent="0.35">
      <c r="B397" s="70" t="s">
        <v>189</v>
      </c>
      <c r="C397" s="70" t="s">
        <v>89</v>
      </c>
      <c r="D397" s="72" t="str">
        <f t="shared" si="31"/>
        <v>ZN-Intermediate bulk container, composite, rigid plastic, pressurised</v>
      </c>
      <c r="O397" s="10"/>
      <c r="Q397"/>
      <c r="W397"/>
      <c r="X397"/>
    </row>
    <row r="398" spans="2:24" ht="29" x14ac:dyDescent="0.35">
      <c r="B398" s="70" t="s">
        <v>190</v>
      </c>
      <c r="C398" s="70" t="s">
        <v>90</v>
      </c>
      <c r="D398" s="72" t="str">
        <f t="shared" si="31"/>
        <v>ZP-Intermediate bulk container, composite, flexible plastic, pressurised</v>
      </c>
      <c r="O398" s="10"/>
      <c r="Q398"/>
      <c r="W398"/>
      <c r="X398"/>
    </row>
    <row r="399" spans="2:24" ht="29" x14ac:dyDescent="0.35">
      <c r="B399" s="70" t="s">
        <v>191</v>
      </c>
      <c r="C399" s="70" t="s">
        <v>91</v>
      </c>
      <c r="D399" s="72" t="str">
        <f t="shared" si="31"/>
        <v>ZQ-Intermediate bulk container, composite, rigid plastic, liquids</v>
      </c>
      <c r="O399" s="10"/>
      <c r="Q399"/>
      <c r="W399"/>
      <c r="X399"/>
    </row>
    <row r="400" spans="2:24" ht="29" x14ac:dyDescent="0.35">
      <c r="B400" s="70" t="s">
        <v>192</v>
      </c>
      <c r="C400" s="70" t="s">
        <v>92</v>
      </c>
      <c r="D400" s="72" t="str">
        <f t="shared" si="31"/>
        <v>ZR-Intermediate bulk container, composite, flexible plastic, liquids</v>
      </c>
      <c r="O400" s="10"/>
      <c r="Q400"/>
      <c r="W400"/>
      <c r="X400"/>
    </row>
    <row r="401" spans="2:24" ht="14.5" x14ac:dyDescent="0.35">
      <c r="B401" s="70" t="s">
        <v>193</v>
      </c>
      <c r="C401" s="70" t="s">
        <v>93</v>
      </c>
      <c r="D401" s="72" t="str">
        <f t="shared" si="31"/>
        <v>ZS-Intermediate bulk container, composite</v>
      </c>
      <c r="O401" s="10"/>
      <c r="Q401"/>
      <c r="W401"/>
      <c r="X401"/>
    </row>
    <row r="402" spans="2:24" ht="14.5" x14ac:dyDescent="0.35">
      <c r="B402" s="70" t="s">
        <v>194</v>
      </c>
      <c r="C402" s="70" t="s">
        <v>94</v>
      </c>
      <c r="D402" s="72" t="str">
        <f t="shared" si="31"/>
        <v>ZT-Intermediate bulk container, fibreboard</v>
      </c>
      <c r="O402" s="10"/>
      <c r="Q402"/>
      <c r="W402"/>
      <c r="X402"/>
    </row>
    <row r="403" spans="2:24" ht="14.5" x14ac:dyDescent="0.35">
      <c r="B403" s="70" t="s">
        <v>195</v>
      </c>
      <c r="C403" s="70" t="s">
        <v>95</v>
      </c>
      <c r="D403" s="72" t="str">
        <f t="shared" si="31"/>
        <v>ZU-Intermediate bulk container, flexible</v>
      </c>
      <c r="O403" s="10"/>
      <c r="Q403"/>
      <c r="W403"/>
      <c r="X403"/>
    </row>
    <row r="404" spans="2:24" ht="29" x14ac:dyDescent="0.35">
      <c r="B404" s="70" t="s">
        <v>196</v>
      </c>
      <c r="C404" s="70" t="s">
        <v>96</v>
      </c>
      <c r="D404" s="72" t="str">
        <f t="shared" si="31"/>
        <v>ZV-Intermediate bulk container, metal, other than steel</v>
      </c>
      <c r="O404" s="10"/>
      <c r="Q404"/>
      <c r="W404"/>
      <c r="X404"/>
    </row>
    <row r="405" spans="2:24" ht="14.5" x14ac:dyDescent="0.35">
      <c r="B405" s="70" t="s">
        <v>197</v>
      </c>
      <c r="C405" s="70" t="s">
        <v>97</v>
      </c>
      <c r="D405" s="72" t="str">
        <f t="shared" si="31"/>
        <v>ZW-Intermediate bulk container, natural wood</v>
      </c>
      <c r="O405" s="10"/>
      <c r="Q405"/>
      <c r="W405"/>
      <c r="X405"/>
    </row>
    <row r="406" spans="2:24" ht="14.5" x14ac:dyDescent="0.35">
      <c r="B406" s="70" t="s">
        <v>198</v>
      </c>
      <c r="C406" s="70" t="s">
        <v>98</v>
      </c>
      <c r="D406" s="72" t="str">
        <f t="shared" si="31"/>
        <v>ZX-Intermediate bulk container, plywood</v>
      </c>
      <c r="O406" s="10"/>
      <c r="Q406"/>
      <c r="W406"/>
      <c r="X406"/>
    </row>
    <row r="407" spans="2:24" ht="29" x14ac:dyDescent="0.35">
      <c r="B407" s="70" t="s">
        <v>199</v>
      </c>
      <c r="C407" s="70" t="s">
        <v>99</v>
      </c>
      <c r="D407" s="72" t="str">
        <f t="shared" si="31"/>
        <v>ZY-Intermediate bulk container, reconstituted wood</v>
      </c>
      <c r="O407" s="10"/>
      <c r="Q407"/>
      <c r="W407"/>
      <c r="X407"/>
    </row>
    <row r="408" spans="2:24" ht="14.5" x14ac:dyDescent="0.35">
      <c r="B408" s="71" t="s">
        <v>200</v>
      </c>
      <c r="C408" s="71" t="s">
        <v>100</v>
      </c>
      <c r="D408" s="73" t="str">
        <f t="shared" si="31"/>
        <v>ZZ-Mutually defined</v>
      </c>
      <c r="O408" s="10"/>
      <c r="Q408"/>
      <c r="W408"/>
      <c r="X408"/>
    </row>
    <row r="409" spans="2:24" x14ac:dyDescent="0.25">
      <c r="O409" s="10"/>
      <c r="Q409"/>
      <c r="W409"/>
      <c r="X409"/>
    </row>
    <row r="410" spans="2:24" x14ac:dyDescent="0.25">
      <c r="O410" s="10"/>
      <c r="Q410"/>
      <c r="W410"/>
      <c r="X410"/>
    </row>
    <row r="411" spans="2:24" x14ac:dyDescent="0.25">
      <c r="O411" s="10"/>
      <c r="Q411"/>
      <c r="W411"/>
      <c r="X411"/>
    </row>
    <row r="412" spans="2:24" x14ac:dyDescent="0.25">
      <c r="O412" s="10"/>
      <c r="Q412"/>
      <c r="W412"/>
      <c r="X412"/>
    </row>
    <row r="413" spans="2:24" x14ac:dyDescent="0.25">
      <c r="O413" s="10"/>
      <c r="Q413"/>
      <c r="W413"/>
      <c r="X413"/>
    </row>
    <row r="414" spans="2:24" x14ac:dyDescent="0.25">
      <c r="O414" s="10"/>
      <c r="Q414"/>
      <c r="W414"/>
      <c r="X414"/>
    </row>
    <row r="415" spans="2:24" x14ac:dyDescent="0.25">
      <c r="O415" s="10"/>
      <c r="Q415"/>
      <c r="W415"/>
      <c r="X415"/>
    </row>
    <row r="416" spans="2:24" x14ac:dyDescent="0.25">
      <c r="O416" s="10"/>
      <c r="Q416"/>
      <c r="W416"/>
      <c r="X416"/>
    </row>
    <row r="417" spans="15:24" x14ac:dyDescent="0.25">
      <c r="O417" s="10"/>
      <c r="Q417"/>
      <c r="W417"/>
      <c r="X417"/>
    </row>
    <row r="418" spans="15:24" x14ac:dyDescent="0.25">
      <c r="O418" s="10"/>
      <c r="Q418"/>
      <c r="W418"/>
      <c r="X418"/>
    </row>
    <row r="419" spans="15:24" x14ac:dyDescent="0.25">
      <c r="O419" s="10"/>
      <c r="Q419"/>
      <c r="W419"/>
      <c r="X419"/>
    </row>
    <row r="420" spans="15:24" x14ac:dyDescent="0.25">
      <c r="O420" s="10"/>
      <c r="Q420"/>
      <c r="W420"/>
      <c r="X420"/>
    </row>
    <row r="421" spans="15:24" x14ac:dyDescent="0.25">
      <c r="O421" s="10"/>
      <c r="Q421"/>
      <c r="W421"/>
      <c r="X421"/>
    </row>
    <row r="422" spans="15:24" x14ac:dyDescent="0.25">
      <c r="O422" s="10"/>
      <c r="Q422"/>
      <c r="W422"/>
      <c r="X422"/>
    </row>
    <row r="423" spans="15:24" x14ac:dyDescent="0.25">
      <c r="O423" s="10"/>
      <c r="Q423"/>
      <c r="W423"/>
      <c r="X423"/>
    </row>
    <row r="424" spans="15:24" x14ac:dyDescent="0.25">
      <c r="O424" s="10"/>
      <c r="Q424"/>
      <c r="W424"/>
      <c r="X424"/>
    </row>
    <row r="425" spans="15:24" x14ac:dyDescent="0.25">
      <c r="O425" s="10"/>
      <c r="Q425"/>
      <c r="W425"/>
      <c r="X425"/>
    </row>
    <row r="426" spans="15:24" x14ac:dyDescent="0.25">
      <c r="O426" s="10"/>
      <c r="Q426"/>
      <c r="W426"/>
      <c r="X426"/>
    </row>
    <row r="427" spans="15:24" x14ac:dyDescent="0.25">
      <c r="O427" s="10"/>
      <c r="Q427"/>
      <c r="W427"/>
      <c r="X427"/>
    </row>
    <row r="428" spans="15:24" x14ac:dyDescent="0.25">
      <c r="O428" s="10"/>
      <c r="Q428"/>
      <c r="W428"/>
      <c r="X428"/>
    </row>
    <row r="429" spans="15:24" x14ac:dyDescent="0.25">
      <c r="O429" s="10"/>
      <c r="Q429"/>
      <c r="W429"/>
      <c r="X429"/>
    </row>
    <row r="430" spans="15:24" x14ac:dyDescent="0.25">
      <c r="O430" s="10"/>
      <c r="Q430"/>
      <c r="W430"/>
      <c r="X430"/>
    </row>
    <row r="431" spans="15:24" x14ac:dyDescent="0.25">
      <c r="O431" s="10"/>
      <c r="Q431"/>
      <c r="W431"/>
      <c r="X431"/>
    </row>
    <row r="432" spans="15:24" x14ac:dyDescent="0.25">
      <c r="O432" s="10"/>
      <c r="Q432"/>
      <c r="W432"/>
      <c r="X432"/>
    </row>
    <row r="433" spans="15:24" x14ac:dyDescent="0.25">
      <c r="O433" s="10"/>
      <c r="Q433"/>
      <c r="W433"/>
      <c r="X433"/>
    </row>
    <row r="434" spans="15:24" x14ac:dyDescent="0.25">
      <c r="O434" s="10"/>
      <c r="Q434"/>
      <c r="W434"/>
      <c r="X434"/>
    </row>
    <row r="435" spans="15:24" x14ac:dyDescent="0.25">
      <c r="O435" s="10"/>
      <c r="Q435"/>
      <c r="W435"/>
      <c r="X435"/>
    </row>
    <row r="436" spans="15:24" x14ac:dyDescent="0.25">
      <c r="O436" s="10"/>
      <c r="Q436"/>
      <c r="W436"/>
      <c r="X436"/>
    </row>
    <row r="437" spans="15:24" x14ac:dyDescent="0.25">
      <c r="O437" s="10"/>
      <c r="Q437"/>
      <c r="W437"/>
      <c r="X437"/>
    </row>
    <row r="438" spans="15:24" x14ac:dyDescent="0.25">
      <c r="O438" s="10"/>
      <c r="Q438"/>
      <c r="W438"/>
      <c r="X438"/>
    </row>
    <row r="439" spans="15:24" x14ac:dyDescent="0.25">
      <c r="O439" s="10"/>
      <c r="Q439"/>
      <c r="W439"/>
      <c r="X439"/>
    </row>
    <row r="440" spans="15:24" x14ac:dyDescent="0.25">
      <c r="O440" s="10"/>
      <c r="Q440"/>
      <c r="W440"/>
      <c r="X440"/>
    </row>
    <row r="441" spans="15:24" x14ac:dyDescent="0.25">
      <c r="O441" s="10"/>
      <c r="Q441"/>
      <c r="W441"/>
      <c r="X441"/>
    </row>
    <row r="442" spans="15:24" x14ac:dyDescent="0.25">
      <c r="O442" s="10"/>
      <c r="Q442"/>
      <c r="W442"/>
      <c r="X442"/>
    </row>
    <row r="443" spans="15:24" x14ac:dyDescent="0.25">
      <c r="O443" s="10"/>
      <c r="Q443"/>
      <c r="W443"/>
      <c r="X443"/>
    </row>
    <row r="444" spans="15:24" x14ac:dyDescent="0.25">
      <c r="W444"/>
      <c r="X444"/>
    </row>
  </sheetData>
  <sheetProtection selectLockedCells="1" selectUnlockedCells="1"/>
  <dataConsolidate/>
  <phoneticPr fontId="14" type="noConversion"/>
  <pageMargins left="0.7" right="0.7" top="0.75" bottom="0.75" header="0.3" footer="0.3"/>
  <pageSetup orientation="portrait" r:id="rId1"/>
  <ignoredErrors>
    <ignoredError sqref="V8:W13"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19</vt:i4>
      </vt:variant>
    </vt:vector>
  </HeadingPairs>
  <TitlesOfParts>
    <vt:vector size="21" baseType="lpstr">
      <vt:lpstr>Data</vt:lpstr>
      <vt:lpstr>documentation</vt:lpstr>
      <vt:lpstr>ADDITIONAL_INFO_IDENT_CODE</vt:lpstr>
      <vt:lpstr>Additional_Reference_Code</vt:lpstr>
      <vt:lpstr>ASV__vol</vt:lpstr>
      <vt:lpstr>Data!COUNTRY_CODE</vt:lpstr>
      <vt:lpstr>COUNTRY_TRADE_CODE</vt:lpstr>
      <vt:lpstr>Data!CURRENCY_CODE</vt:lpstr>
      <vt:lpstr>Declaration_Type_Code</vt:lpstr>
      <vt:lpstr>DELIVERY_TERMS_CODE</vt:lpstr>
      <vt:lpstr>Data!DISCHARGING_DECLARATION_CODE</vt:lpstr>
      <vt:lpstr>DOCUMENT_TYPE_CODE</vt:lpstr>
      <vt:lpstr>DOCUMENT_TYPE_CODE_BY</vt:lpstr>
      <vt:lpstr>Data!Export_From_EU</vt:lpstr>
      <vt:lpstr>Measure_Unit_Code</vt:lpstr>
      <vt:lpstr>Data!PACKAGE_CODE</vt:lpstr>
      <vt:lpstr>PAYMENT_TYPE_CODE</vt:lpstr>
      <vt:lpstr>Person_Type_Code</vt:lpstr>
      <vt:lpstr>Data!PREVIOUS_DOCUMENT_TYPE_CODE</vt:lpstr>
      <vt:lpstr>TRANSACTION_TYPE_CODE</vt:lpstr>
      <vt:lpstr>Transport_Document_Code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Hussein Sabra</dc:creator>
  <cp:lastModifiedBy>FNEISH Ali mortada</cp:lastModifiedBy>
  <dcterms:created xsi:type="dcterms:W3CDTF">2015-07-21T13:02:57Z</dcterms:created>
  <dcterms:modified xsi:type="dcterms:W3CDTF">2026-04-07T12:45:13Z</dcterms:modified>
</cp:coreProperties>
</file>