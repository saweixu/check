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sawei\Downloads\"/>
    </mc:Choice>
  </mc:AlternateContent>
  <xr:revisionPtr revIDLastSave="0" documentId="13_ncr:1_{BC5A8727-15EF-4A0D-83B3-8AB90ED66BA9}" xr6:coauthVersionLast="47" xr6:coauthVersionMax="47" xr10:uidLastSave="{00000000-0000-0000-0000-000000000000}"/>
  <bookViews>
    <workbookView xWindow="-120" yWindow="-120" windowWidth="29040" windowHeight="15720" xr2:uid="{00000000-000D-0000-FFFF-FFFF00000000}"/>
  </bookViews>
  <sheets>
    <sheet name="Data" sheetId="1" r:id="rId1"/>
    <sheet name="documentation" sheetId="2" state="hidden" r:id="rId2"/>
  </sheets>
  <definedNames>
    <definedName name="_xlnm._FilterDatabase" localSheetId="0" hidden="1">Data!#REF!</definedName>
    <definedName name="_xlnm._FilterDatabase" localSheetId="1" hidden="1">documentation!$J$1:$L$1165</definedName>
    <definedName name="ADDITIONAL_INFO_IDENT_CODE" localSheetId="0">documentation!$X$2:$X$632</definedName>
    <definedName name="Additional_Reference_Code">documentation!$BJ$2:$BJ$50</definedName>
    <definedName name="COUNTRY_CODE" localSheetId="0">documentation!$P$2:$P$256</definedName>
    <definedName name="COUNTRY_TRADE_CODE">documentation!$AX$2:$AX$261</definedName>
    <definedName name="CURRENCY_CODE" localSheetId="0">documentation!$H$2:$H$188</definedName>
    <definedName name="DELIVERY_TERMS_CODE">documentation!$AL$2:$AL$17</definedName>
    <definedName name="DISCHARGING_DECLARATION_CODE" localSheetId="0">documentation!$AB$2:$AB$6</definedName>
    <definedName name="DOCUMENT_TYPE_CODE">documentation!$L$2:$L$43</definedName>
    <definedName name="DOCUMENT_TYPE_CODE_BY">documentation!$AG$2:$AH$1163</definedName>
    <definedName name="Export_From_EU" localSheetId="0">documentation!$AD$2:$AD$3</definedName>
    <definedName name="Measure_Unit_Code">documentation!$BB$2:$BB$68</definedName>
    <definedName name="PACKAGE_CODE" localSheetId="0">documentation!$D$2:$D$380</definedName>
    <definedName name="PAYMENT_TYPE_CODE">documentation!$AP$2:$AP$14</definedName>
    <definedName name="PREVIOUS_DOCUMENT_TYPE_CODE">documentation!$T$2:$T$38</definedName>
    <definedName name="TRANSACTION_TYPE_CODE">documentation!$AT$2:$AT$30</definedName>
    <definedName name="Transport_Document_Code">documentation!$BF$2:$BF$18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8" i="2" l="1"/>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AX261" i="2"/>
  <c r="D261" i="2"/>
  <c r="AX260" i="2"/>
  <c r="D260" i="2"/>
  <c r="AX259" i="2"/>
  <c r="D259" i="2"/>
  <c r="AX258" i="2"/>
  <c r="D258" i="2"/>
  <c r="AX257" i="2"/>
  <c r="D257" i="2"/>
  <c r="AX256" i="2"/>
  <c r="P256" i="2"/>
  <c r="D256" i="2"/>
  <c r="AX255" i="2"/>
  <c r="P255" i="2"/>
  <c r="D255" i="2"/>
  <c r="AX254" i="2"/>
  <c r="P254" i="2"/>
  <c r="D254" i="2"/>
  <c r="AX253" i="2"/>
  <c r="P253" i="2"/>
  <c r="D253" i="2"/>
  <c r="AX252" i="2"/>
  <c r="P252" i="2"/>
  <c r="D252" i="2"/>
  <c r="AX251" i="2"/>
  <c r="P251" i="2"/>
  <c r="D251" i="2"/>
  <c r="AX250" i="2"/>
  <c r="P250" i="2"/>
  <c r="D250" i="2"/>
  <c r="AX249" i="2"/>
  <c r="P249" i="2"/>
  <c r="D249" i="2"/>
  <c r="AX248" i="2"/>
  <c r="P248" i="2"/>
  <c r="D248" i="2"/>
  <c r="AX247" i="2"/>
  <c r="P247" i="2"/>
  <c r="D247" i="2"/>
  <c r="AX246" i="2"/>
  <c r="P246" i="2"/>
  <c r="D246" i="2"/>
  <c r="AX245" i="2"/>
  <c r="P245" i="2"/>
  <c r="D245" i="2"/>
  <c r="AX244" i="2"/>
  <c r="P244" i="2"/>
  <c r="D244" i="2"/>
  <c r="AX243" i="2"/>
  <c r="P243" i="2"/>
  <c r="D243" i="2"/>
  <c r="AX242" i="2"/>
  <c r="P242" i="2"/>
  <c r="D242" i="2"/>
  <c r="AX241" i="2"/>
  <c r="P241" i="2"/>
  <c r="D241" i="2"/>
  <c r="AX240" i="2"/>
  <c r="P240" i="2"/>
  <c r="D240" i="2"/>
  <c r="AX239" i="2"/>
  <c r="P239" i="2"/>
  <c r="D239" i="2"/>
  <c r="AX238" i="2"/>
  <c r="P238" i="2"/>
  <c r="D238" i="2"/>
  <c r="AX237" i="2"/>
  <c r="P237" i="2"/>
  <c r="D237" i="2"/>
  <c r="AX236" i="2"/>
  <c r="P236" i="2"/>
  <c r="D236" i="2"/>
  <c r="AX235" i="2"/>
  <c r="P235" i="2"/>
  <c r="D235" i="2"/>
  <c r="AX234" i="2"/>
  <c r="P234" i="2"/>
  <c r="D234" i="2"/>
  <c r="AX233" i="2"/>
  <c r="P233" i="2"/>
  <c r="D233" i="2"/>
  <c r="AX232" i="2"/>
  <c r="P232" i="2"/>
  <c r="D232" i="2"/>
  <c r="AX231" i="2"/>
  <c r="P231" i="2"/>
  <c r="D231" i="2"/>
  <c r="AX230" i="2"/>
  <c r="P230" i="2"/>
  <c r="D230" i="2"/>
  <c r="AX229" i="2"/>
  <c r="P229" i="2"/>
  <c r="D229" i="2"/>
  <c r="AX228" i="2"/>
  <c r="P228" i="2"/>
  <c r="D228" i="2"/>
  <c r="AX227" i="2"/>
  <c r="P227" i="2"/>
  <c r="D227" i="2"/>
  <c r="AX226" i="2"/>
  <c r="P226" i="2"/>
  <c r="D226" i="2"/>
  <c r="AX225" i="2"/>
  <c r="P225" i="2"/>
  <c r="D225" i="2"/>
  <c r="AX224" i="2"/>
  <c r="P224" i="2"/>
  <c r="D224" i="2"/>
  <c r="AX223" i="2"/>
  <c r="P223" i="2"/>
  <c r="D223" i="2"/>
  <c r="AX222" i="2"/>
  <c r="P222" i="2"/>
  <c r="D222" i="2"/>
  <c r="AX221" i="2"/>
  <c r="P221" i="2"/>
  <c r="D221" i="2"/>
  <c r="AX220" i="2"/>
  <c r="AH220" i="2"/>
  <c r="P220" i="2"/>
  <c r="D220" i="2"/>
  <c r="AX219" i="2"/>
  <c r="AH219" i="2"/>
  <c r="P219" i="2"/>
  <c r="D219" i="2"/>
  <c r="AX218" i="2"/>
  <c r="AH218" i="2"/>
  <c r="P218" i="2"/>
  <c r="D218" i="2"/>
  <c r="AX217" i="2"/>
  <c r="AH217" i="2"/>
  <c r="P217" i="2"/>
  <c r="D217" i="2"/>
  <c r="AX216" i="2"/>
  <c r="AH216" i="2"/>
  <c r="P216" i="2"/>
  <c r="D216" i="2"/>
  <c r="AX215" i="2"/>
  <c r="AH215" i="2"/>
  <c r="P215" i="2"/>
  <c r="D215" i="2"/>
  <c r="AX214" i="2"/>
  <c r="AH214" i="2"/>
  <c r="P214" i="2"/>
  <c r="D214" i="2"/>
  <c r="AX213" i="2"/>
  <c r="AH213" i="2"/>
  <c r="P213" i="2"/>
  <c r="D213" i="2"/>
  <c r="AX212" i="2"/>
  <c r="AH212" i="2"/>
  <c r="P212" i="2"/>
  <c r="D212" i="2"/>
  <c r="AX211" i="2"/>
  <c r="AH211" i="2"/>
  <c r="P211" i="2"/>
  <c r="D211" i="2"/>
  <c r="AX210" i="2"/>
  <c r="AH210" i="2"/>
  <c r="P210" i="2"/>
  <c r="D210" i="2"/>
  <c r="AX209" i="2"/>
  <c r="AH209" i="2"/>
  <c r="P209" i="2"/>
  <c r="D209" i="2"/>
  <c r="AX208" i="2"/>
  <c r="AH208" i="2"/>
  <c r="P208" i="2"/>
  <c r="D208" i="2"/>
  <c r="AX207" i="2"/>
  <c r="AH207" i="2"/>
  <c r="P207" i="2"/>
  <c r="D207" i="2"/>
  <c r="AX206" i="2"/>
  <c r="AH206" i="2"/>
  <c r="P206" i="2"/>
  <c r="D206" i="2"/>
  <c r="AX205" i="2"/>
  <c r="AH205" i="2"/>
  <c r="P205" i="2"/>
  <c r="D205" i="2"/>
  <c r="AX204" i="2"/>
  <c r="AH204" i="2"/>
  <c r="P204" i="2"/>
  <c r="D204" i="2"/>
  <c r="AX203" i="2"/>
  <c r="AH203" i="2"/>
  <c r="P203" i="2"/>
  <c r="D203" i="2"/>
  <c r="AX202" i="2"/>
  <c r="AH202" i="2"/>
  <c r="P202" i="2"/>
  <c r="D202" i="2"/>
  <c r="AX201" i="2"/>
  <c r="AH201" i="2"/>
  <c r="P201" i="2"/>
  <c r="D201" i="2"/>
  <c r="AX200" i="2"/>
  <c r="AH200" i="2"/>
  <c r="P200" i="2"/>
  <c r="D200" i="2"/>
  <c r="AX199" i="2"/>
  <c r="AH199" i="2"/>
  <c r="P199" i="2"/>
  <c r="D199" i="2"/>
  <c r="AX198" i="2"/>
  <c r="AH198" i="2"/>
  <c r="P198" i="2"/>
  <c r="D198" i="2"/>
  <c r="AX197" i="2"/>
  <c r="AH197" i="2"/>
  <c r="P197" i="2"/>
  <c r="D197" i="2"/>
  <c r="AX196" i="2"/>
  <c r="AH196" i="2"/>
  <c r="P196" i="2"/>
  <c r="D196" i="2"/>
  <c r="AX195" i="2"/>
  <c r="AH195" i="2"/>
  <c r="P195" i="2"/>
  <c r="D195" i="2"/>
  <c r="AX194" i="2"/>
  <c r="AH194" i="2"/>
  <c r="P194" i="2"/>
  <c r="D194" i="2"/>
  <c r="AX193" i="2"/>
  <c r="AH193" i="2"/>
  <c r="P193" i="2"/>
  <c r="D193" i="2"/>
  <c r="AX192" i="2"/>
  <c r="AH192" i="2"/>
  <c r="P192" i="2"/>
  <c r="D192" i="2"/>
  <c r="AX191" i="2"/>
  <c r="AH191" i="2"/>
  <c r="P191" i="2"/>
  <c r="D191" i="2"/>
  <c r="AX190" i="2"/>
  <c r="AH190" i="2"/>
  <c r="P190" i="2"/>
  <c r="D190" i="2"/>
  <c r="AX189" i="2"/>
  <c r="AH189" i="2"/>
  <c r="P189" i="2"/>
  <c r="D189" i="2"/>
  <c r="AX188" i="2"/>
  <c r="AH188" i="2"/>
  <c r="P188" i="2"/>
  <c r="H188" i="2"/>
  <c r="D188" i="2"/>
  <c r="AX187" i="2"/>
  <c r="AH187" i="2"/>
  <c r="P187" i="2"/>
  <c r="H187" i="2"/>
  <c r="D187" i="2"/>
  <c r="AX186" i="2"/>
  <c r="AH186" i="2"/>
  <c r="P186" i="2"/>
  <c r="H186" i="2"/>
  <c r="D186" i="2"/>
  <c r="AX185" i="2"/>
  <c r="AH185" i="2"/>
  <c r="P185" i="2"/>
  <c r="H185" i="2"/>
  <c r="D185" i="2"/>
  <c r="AX184" i="2"/>
  <c r="AH184" i="2"/>
  <c r="P184" i="2"/>
  <c r="H184" i="2"/>
  <c r="D184" i="2"/>
  <c r="AX183" i="2"/>
  <c r="AH183" i="2"/>
  <c r="P183" i="2"/>
  <c r="H183" i="2"/>
  <c r="D183" i="2"/>
  <c r="AX182" i="2"/>
  <c r="AH182" i="2"/>
  <c r="P182" i="2"/>
  <c r="H182" i="2"/>
  <c r="D182" i="2"/>
  <c r="AX181" i="2"/>
  <c r="AH181" i="2"/>
  <c r="P181" i="2"/>
  <c r="H181" i="2"/>
  <c r="D181" i="2"/>
  <c r="AX180" i="2"/>
  <c r="AH180" i="2"/>
  <c r="P180" i="2"/>
  <c r="H180" i="2"/>
  <c r="D180" i="2"/>
  <c r="AX179" i="2"/>
  <c r="AH179" i="2"/>
  <c r="P179" i="2"/>
  <c r="H179" i="2"/>
  <c r="D179" i="2"/>
  <c r="AX178" i="2"/>
  <c r="AH178" i="2"/>
  <c r="P178" i="2"/>
  <c r="H178" i="2"/>
  <c r="D178" i="2"/>
  <c r="AX177" i="2"/>
  <c r="AH177" i="2"/>
  <c r="P177" i="2"/>
  <c r="H177" i="2"/>
  <c r="D177" i="2"/>
  <c r="AX176" i="2"/>
  <c r="AH176" i="2"/>
  <c r="P176" i="2"/>
  <c r="H176" i="2"/>
  <c r="D176" i="2"/>
  <c r="AX175" i="2"/>
  <c r="AH175" i="2"/>
  <c r="P175" i="2"/>
  <c r="H175" i="2"/>
  <c r="D175" i="2"/>
  <c r="AX174" i="2"/>
  <c r="AH174" i="2"/>
  <c r="P174" i="2"/>
  <c r="H174" i="2"/>
  <c r="D174" i="2"/>
  <c r="AX173" i="2"/>
  <c r="AH173" i="2"/>
  <c r="P173" i="2"/>
  <c r="H173" i="2"/>
  <c r="D173" i="2"/>
  <c r="AX172" i="2"/>
  <c r="AH172" i="2"/>
  <c r="P172" i="2"/>
  <c r="H172" i="2"/>
  <c r="D172" i="2"/>
  <c r="AX171" i="2"/>
  <c r="AH171" i="2"/>
  <c r="P171" i="2"/>
  <c r="H171" i="2"/>
  <c r="D171" i="2"/>
  <c r="AX170" i="2"/>
  <c r="AH170" i="2"/>
  <c r="P170" i="2"/>
  <c r="H170" i="2"/>
  <c r="D170" i="2"/>
  <c r="AX169" i="2"/>
  <c r="AH169" i="2"/>
  <c r="P169" i="2"/>
  <c r="H169" i="2"/>
  <c r="D169" i="2"/>
  <c r="AX168" i="2"/>
  <c r="AH168" i="2"/>
  <c r="P168" i="2"/>
  <c r="H168" i="2"/>
  <c r="D168" i="2"/>
  <c r="AX167" i="2"/>
  <c r="AH167" i="2"/>
  <c r="P167" i="2"/>
  <c r="H167" i="2"/>
  <c r="D167" i="2"/>
  <c r="AX166" i="2"/>
  <c r="AH166" i="2"/>
  <c r="P166" i="2"/>
  <c r="H166" i="2"/>
  <c r="D166" i="2"/>
  <c r="AX165" i="2"/>
  <c r="AH165" i="2"/>
  <c r="P165" i="2"/>
  <c r="H165" i="2"/>
  <c r="D165" i="2"/>
  <c r="AX164" i="2"/>
  <c r="AH164" i="2"/>
  <c r="P164" i="2"/>
  <c r="H164" i="2"/>
  <c r="D164" i="2"/>
  <c r="AX163" i="2"/>
  <c r="AH163" i="2"/>
  <c r="P163" i="2"/>
  <c r="H163" i="2"/>
  <c r="D163" i="2"/>
  <c r="AX162" i="2"/>
  <c r="AH162" i="2"/>
  <c r="P162" i="2"/>
  <c r="H162" i="2"/>
  <c r="D162" i="2"/>
  <c r="AX161" i="2"/>
  <c r="AH161" i="2"/>
  <c r="P161" i="2"/>
  <c r="H161" i="2"/>
  <c r="D161" i="2"/>
  <c r="AX160" i="2"/>
  <c r="AH160" i="2"/>
  <c r="P160" i="2"/>
  <c r="H160" i="2"/>
  <c r="D160" i="2"/>
  <c r="AX159" i="2"/>
  <c r="AH159" i="2"/>
  <c r="P159" i="2"/>
  <c r="H159" i="2"/>
  <c r="D159" i="2"/>
  <c r="AX158" i="2"/>
  <c r="AH158" i="2"/>
  <c r="P158" i="2"/>
  <c r="H158" i="2"/>
  <c r="D158" i="2"/>
  <c r="AX157" i="2"/>
  <c r="AH157" i="2"/>
  <c r="P157" i="2"/>
  <c r="H157" i="2"/>
  <c r="D157" i="2"/>
  <c r="AX156" i="2"/>
  <c r="AH156" i="2"/>
  <c r="P156" i="2"/>
  <c r="H156" i="2"/>
  <c r="D156" i="2"/>
  <c r="AX155" i="2"/>
  <c r="AH155" i="2"/>
  <c r="P155" i="2"/>
  <c r="H155" i="2"/>
  <c r="D155" i="2"/>
  <c r="AX154" i="2"/>
  <c r="AH154" i="2"/>
  <c r="P154" i="2"/>
  <c r="H154" i="2"/>
  <c r="D154" i="2"/>
  <c r="AX153" i="2"/>
  <c r="AH153" i="2"/>
  <c r="P153" i="2"/>
  <c r="H153" i="2"/>
  <c r="D153" i="2"/>
  <c r="AX152" i="2"/>
  <c r="AH152" i="2"/>
  <c r="P152" i="2"/>
  <c r="H152" i="2"/>
  <c r="D152" i="2"/>
  <c r="AX151" i="2"/>
  <c r="AH151" i="2"/>
  <c r="P151" i="2"/>
  <c r="H151" i="2"/>
  <c r="D151" i="2"/>
  <c r="AX150" i="2"/>
  <c r="AH150" i="2"/>
  <c r="P150" i="2"/>
  <c r="H150" i="2"/>
  <c r="D150" i="2"/>
  <c r="AX149" i="2"/>
  <c r="AH149" i="2"/>
  <c r="P149" i="2"/>
  <c r="H149" i="2"/>
  <c r="D149" i="2"/>
  <c r="AX148" i="2"/>
  <c r="AH148" i="2"/>
  <c r="P148" i="2"/>
  <c r="H148" i="2"/>
  <c r="D148" i="2"/>
  <c r="AX147" i="2"/>
  <c r="AH147" i="2"/>
  <c r="P147" i="2"/>
  <c r="H147" i="2"/>
  <c r="D147" i="2"/>
  <c r="AX146" i="2"/>
  <c r="AH146" i="2"/>
  <c r="P146" i="2"/>
  <c r="H146" i="2"/>
  <c r="D146" i="2"/>
  <c r="AX145" i="2"/>
  <c r="AH145" i="2"/>
  <c r="P145" i="2"/>
  <c r="H145" i="2"/>
  <c r="D145" i="2"/>
  <c r="AX144" i="2"/>
  <c r="AH144" i="2"/>
  <c r="P144" i="2"/>
  <c r="H144" i="2"/>
  <c r="D144" i="2"/>
  <c r="AX143" i="2"/>
  <c r="AH143" i="2"/>
  <c r="P143" i="2"/>
  <c r="H143" i="2"/>
  <c r="D143" i="2"/>
  <c r="AX142" i="2"/>
  <c r="AH142" i="2"/>
  <c r="P142" i="2"/>
  <c r="H142" i="2"/>
  <c r="D142" i="2"/>
  <c r="AX141" i="2"/>
  <c r="AH141" i="2"/>
  <c r="P141" i="2"/>
  <c r="H141" i="2"/>
  <c r="D141" i="2"/>
  <c r="AX140" i="2"/>
  <c r="AH140" i="2"/>
  <c r="P140" i="2"/>
  <c r="H140" i="2"/>
  <c r="D140" i="2"/>
  <c r="AX139" i="2"/>
  <c r="AH139" i="2"/>
  <c r="P139" i="2"/>
  <c r="H139" i="2"/>
  <c r="D139" i="2"/>
  <c r="AX138" i="2"/>
  <c r="AH138" i="2"/>
  <c r="P138" i="2"/>
  <c r="H138" i="2"/>
  <c r="D138" i="2"/>
  <c r="AX137" i="2"/>
  <c r="AH137" i="2"/>
  <c r="P137" i="2"/>
  <c r="H137" i="2"/>
  <c r="D137" i="2"/>
  <c r="AX136" i="2"/>
  <c r="AH136" i="2"/>
  <c r="P136" i="2"/>
  <c r="H136" i="2"/>
  <c r="D136" i="2"/>
  <c r="AX135" i="2"/>
  <c r="AH135" i="2"/>
  <c r="P135" i="2"/>
  <c r="H135" i="2"/>
  <c r="D135" i="2"/>
  <c r="AX134" i="2"/>
  <c r="AH134" i="2"/>
  <c r="P134" i="2"/>
  <c r="H134" i="2"/>
  <c r="D134" i="2"/>
  <c r="AX133" i="2"/>
  <c r="AH133" i="2"/>
  <c r="P133" i="2"/>
  <c r="H133" i="2"/>
  <c r="D133" i="2"/>
  <c r="AX132" i="2"/>
  <c r="AH132" i="2"/>
  <c r="P132" i="2"/>
  <c r="H132" i="2"/>
  <c r="D132" i="2"/>
  <c r="AX131" i="2"/>
  <c r="AH131" i="2"/>
  <c r="P131" i="2"/>
  <c r="H131" i="2"/>
  <c r="D131" i="2"/>
  <c r="AX130" i="2"/>
  <c r="AH130" i="2"/>
  <c r="P130" i="2"/>
  <c r="H130" i="2"/>
  <c r="D130" i="2"/>
  <c r="AX129" i="2"/>
  <c r="AH129" i="2"/>
  <c r="P129" i="2"/>
  <c r="H129" i="2"/>
  <c r="D129" i="2"/>
  <c r="AX128" i="2"/>
  <c r="AH128" i="2"/>
  <c r="P128" i="2"/>
  <c r="H128" i="2"/>
  <c r="D128" i="2"/>
  <c r="AX127" i="2"/>
  <c r="AH127" i="2"/>
  <c r="P127" i="2"/>
  <c r="H127" i="2"/>
  <c r="D127" i="2"/>
  <c r="AX126" i="2"/>
  <c r="AH126" i="2"/>
  <c r="P126" i="2"/>
  <c r="H126" i="2"/>
  <c r="D126" i="2"/>
  <c r="AX125" i="2"/>
  <c r="AH125" i="2"/>
  <c r="P125" i="2"/>
  <c r="H125" i="2"/>
  <c r="D125" i="2"/>
  <c r="AX124" i="2"/>
  <c r="AH124" i="2"/>
  <c r="P124" i="2"/>
  <c r="H124" i="2"/>
  <c r="D124" i="2"/>
  <c r="AX123" i="2"/>
  <c r="AH123" i="2"/>
  <c r="P123" i="2"/>
  <c r="H123" i="2"/>
  <c r="D123" i="2"/>
  <c r="AX122" i="2"/>
  <c r="AH122" i="2"/>
  <c r="P122" i="2"/>
  <c r="H122" i="2"/>
  <c r="D122" i="2"/>
  <c r="AX121" i="2"/>
  <c r="AH121" i="2"/>
  <c r="P121" i="2"/>
  <c r="H121" i="2"/>
  <c r="D121" i="2"/>
  <c r="AX120" i="2"/>
  <c r="AH120" i="2"/>
  <c r="P120" i="2"/>
  <c r="H120" i="2"/>
  <c r="D120" i="2"/>
  <c r="AX119" i="2"/>
  <c r="AH119" i="2"/>
  <c r="P119" i="2"/>
  <c r="H119" i="2"/>
  <c r="D119" i="2"/>
  <c r="AX118" i="2"/>
  <c r="AH118" i="2"/>
  <c r="P118" i="2"/>
  <c r="H118" i="2"/>
  <c r="D118" i="2"/>
  <c r="AX117" i="2"/>
  <c r="AH117" i="2"/>
  <c r="P117" i="2"/>
  <c r="H117" i="2"/>
  <c r="D117" i="2"/>
  <c r="AX116" i="2"/>
  <c r="AH116" i="2"/>
  <c r="P116" i="2"/>
  <c r="H116" i="2"/>
  <c r="D116" i="2"/>
  <c r="AX115" i="2"/>
  <c r="AH115" i="2"/>
  <c r="P115" i="2"/>
  <c r="H115" i="2"/>
  <c r="D115" i="2"/>
  <c r="AX114" i="2"/>
  <c r="AH114" i="2"/>
  <c r="P114" i="2"/>
  <c r="H114" i="2"/>
  <c r="D114" i="2"/>
  <c r="AX113" i="2"/>
  <c r="AH113" i="2"/>
  <c r="P113" i="2"/>
  <c r="H113" i="2"/>
  <c r="D113" i="2"/>
  <c r="AX112" i="2"/>
  <c r="AH112" i="2"/>
  <c r="P112" i="2"/>
  <c r="H112" i="2"/>
  <c r="D112" i="2"/>
  <c r="AX111" i="2"/>
  <c r="AH111" i="2"/>
  <c r="P111" i="2"/>
  <c r="H111" i="2"/>
  <c r="D111" i="2"/>
  <c r="AX110" i="2"/>
  <c r="AH110" i="2"/>
  <c r="P110" i="2"/>
  <c r="H110" i="2"/>
  <c r="D110" i="2"/>
  <c r="AX109" i="2"/>
  <c r="AH109" i="2"/>
  <c r="P109" i="2"/>
  <c r="H109" i="2"/>
  <c r="D109" i="2"/>
  <c r="AX108" i="2"/>
  <c r="AH108" i="2"/>
  <c r="P108" i="2"/>
  <c r="H108" i="2"/>
  <c r="D108" i="2"/>
  <c r="AX107" i="2"/>
  <c r="AH107" i="2"/>
  <c r="P107" i="2"/>
  <c r="H107" i="2"/>
  <c r="D107" i="2"/>
  <c r="AX106" i="2"/>
  <c r="AH106" i="2"/>
  <c r="P106" i="2"/>
  <c r="H106" i="2"/>
  <c r="D106" i="2"/>
  <c r="AX105" i="2"/>
  <c r="AH105" i="2"/>
  <c r="P105" i="2"/>
  <c r="H105" i="2"/>
  <c r="D105" i="2"/>
  <c r="AX104" i="2"/>
  <c r="AH104" i="2"/>
  <c r="P104" i="2"/>
  <c r="H104" i="2"/>
  <c r="D104" i="2"/>
  <c r="AX103" i="2"/>
  <c r="AH103" i="2"/>
  <c r="P103" i="2"/>
  <c r="H103" i="2"/>
  <c r="D103" i="2"/>
  <c r="AX102" i="2"/>
  <c r="AH102" i="2"/>
  <c r="P102" i="2"/>
  <c r="H102" i="2"/>
  <c r="D102" i="2"/>
  <c r="AX101" i="2"/>
  <c r="AH101" i="2"/>
  <c r="P101" i="2"/>
  <c r="H101" i="2"/>
  <c r="D101" i="2"/>
  <c r="AX100" i="2"/>
  <c r="AH100" i="2"/>
  <c r="P100" i="2"/>
  <c r="H100" i="2"/>
  <c r="D100" i="2"/>
  <c r="AX99" i="2"/>
  <c r="AH99" i="2"/>
  <c r="P99" i="2"/>
  <c r="H99" i="2"/>
  <c r="D99" i="2"/>
  <c r="AX98" i="2"/>
  <c r="AH98" i="2"/>
  <c r="P98" i="2"/>
  <c r="H98" i="2"/>
  <c r="D98" i="2"/>
  <c r="AX97" i="2"/>
  <c r="AH97" i="2"/>
  <c r="P97" i="2"/>
  <c r="H97" i="2"/>
  <c r="D97" i="2"/>
  <c r="AX96" i="2"/>
  <c r="AH96" i="2"/>
  <c r="P96" i="2"/>
  <c r="H96" i="2"/>
  <c r="D96" i="2"/>
  <c r="AX95" i="2"/>
  <c r="AH95" i="2"/>
  <c r="P95" i="2"/>
  <c r="H95" i="2"/>
  <c r="D95" i="2"/>
  <c r="AX94" i="2"/>
  <c r="AH94" i="2"/>
  <c r="P94" i="2"/>
  <c r="H94" i="2"/>
  <c r="AX93" i="2"/>
  <c r="AH93" i="2"/>
  <c r="P93" i="2"/>
  <c r="H93" i="2"/>
  <c r="D93" i="2"/>
  <c r="AX92" i="2"/>
  <c r="AH92" i="2"/>
  <c r="P92" i="2"/>
  <c r="H92" i="2"/>
  <c r="D92" i="2"/>
  <c r="AX91" i="2"/>
  <c r="AH91" i="2"/>
  <c r="P91" i="2"/>
  <c r="H91" i="2"/>
  <c r="D91" i="2"/>
  <c r="AX90" i="2"/>
  <c r="AH90" i="2"/>
  <c r="P90" i="2"/>
  <c r="H90" i="2"/>
  <c r="D90" i="2"/>
  <c r="AX89" i="2"/>
  <c r="AH89" i="2"/>
  <c r="P89" i="2"/>
  <c r="H89" i="2"/>
  <c r="D89" i="2"/>
  <c r="AX88" i="2"/>
  <c r="AH88" i="2"/>
  <c r="P88" i="2"/>
  <c r="H88" i="2"/>
  <c r="D88" i="2"/>
  <c r="AX87" i="2"/>
  <c r="AH87" i="2"/>
  <c r="P87" i="2"/>
  <c r="H87" i="2"/>
  <c r="D87" i="2"/>
  <c r="AX86" i="2"/>
  <c r="AH86" i="2"/>
  <c r="P86" i="2"/>
  <c r="H86" i="2"/>
  <c r="D86" i="2"/>
  <c r="AX85" i="2"/>
  <c r="AH85" i="2"/>
  <c r="P85" i="2"/>
  <c r="H85" i="2"/>
  <c r="D85" i="2"/>
  <c r="AX84" i="2"/>
  <c r="AH84" i="2"/>
  <c r="P84" i="2"/>
  <c r="H84" i="2"/>
  <c r="D84" i="2"/>
  <c r="AX83" i="2"/>
  <c r="AH83" i="2"/>
  <c r="P83" i="2"/>
  <c r="H83" i="2"/>
  <c r="D83" i="2"/>
  <c r="AX82" i="2"/>
  <c r="AH82" i="2"/>
  <c r="P82" i="2"/>
  <c r="H82" i="2"/>
  <c r="D82" i="2"/>
  <c r="AX81" i="2"/>
  <c r="AH81" i="2"/>
  <c r="P81" i="2"/>
  <c r="H81" i="2"/>
  <c r="D81" i="2"/>
  <c r="AX80" i="2"/>
  <c r="AH80" i="2"/>
  <c r="P80" i="2"/>
  <c r="H80" i="2"/>
  <c r="D80" i="2"/>
  <c r="AX79" i="2"/>
  <c r="AH79" i="2"/>
  <c r="P79" i="2"/>
  <c r="H79" i="2"/>
  <c r="D79" i="2"/>
  <c r="AX78" i="2"/>
  <c r="AH78" i="2"/>
  <c r="P78" i="2"/>
  <c r="H78" i="2"/>
  <c r="D78" i="2"/>
  <c r="AX77" i="2"/>
  <c r="AH77" i="2"/>
  <c r="P77" i="2"/>
  <c r="H77" i="2"/>
  <c r="D77" i="2"/>
  <c r="AX76" i="2"/>
  <c r="AH76" i="2"/>
  <c r="P76" i="2"/>
  <c r="H76" i="2"/>
  <c r="D76" i="2"/>
  <c r="AX75" i="2"/>
  <c r="AH75" i="2"/>
  <c r="P75" i="2"/>
  <c r="H75" i="2"/>
  <c r="D75" i="2"/>
  <c r="AX74" i="2"/>
  <c r="AH74" i="2"/>
  <c r="P74" i="2"/>
  <c r="H74" i="2"/>
  <c r="D74" i="2"/>
  <c r="AX73" i="2"/>
  <c r="AH73" i="2"/>
  <c r="P73" i="2"/>
  <c r="H73" i="2"/>
  <c r="D73" i="2"/>
  <c r="AX72" i="2"/>
  <c r="AH72" i="2"/>
  <c r="P72" i="2"/>
  <c r="H72" i="2"/>
  <c r="D72" i="2"/>
  <c r="AX71" i="2"/>
  <c r="AH71" i="2"/>
  <c r="P71" i="2"/>
  <c r="H71" i="2"/>
  <c r="D71" i="2"/>
  <c r="AX70" i="2"/>
  <c r="AH70" i="2"/>
  <c r="P70" i="2"/>
  <c r="H70" i="2"/>
  <c r="D70" i="2"/>
  <c r="AX69" i="2"/>
  <c r="AH69" i="2"/>
  <c r="P69" i="2"/>
  <c r="H69" i="2"/>
  <c r="D69" i="2"/>
  <c r="BB68" i="2"/>
  <c r="AX68" i="2"/>
  <c r="AH68" i="2"/>
  <c r="P68" i="2"/>
  <c r="H68" i="2"/>
  <c r="D68" i="2"/>
  <c r="BB67" i="2"/>
  <c r="AX67" i="2"/>
  <c r="AH67" i="2"/>
  <c r="P67" i="2"/>
  <c r="H67" i="2"/>
  <c r="D67" i="2"/>
  <c r="BB66" i="2"/>
  <c r="AX66" i="2"/>
  <c r="AH66" i="2"/>
  <c r="P66" i="2"/>
  <c r="H66" i="2"/>
  <c r="D66" i="2"/>
  <c r="BB65" i="2"/>
  <c r="AX65" i="2"/>
  <c r="AH65" i="2"/>
  <c r="P65" i="2"/>
  <c r="H65" i="2"/>
  <c r="D65" i="2"/>
  <c r="BB64" i="2"/>
  <c r="AX64" i="2"/>
  <c r="AH64" i="2"/>
  <c r="P64" i="2"/>
  <c r="H64" i="2"/>
  <c r="D64" i="2"/>
  <c r="BB63" i="2"/>
  <c r="AX63" i="2"/>
  <c r="AH63" i="2"/>
  <c r="P63" i="2"/>
  <c r="H63" i="2"/>
  <c r="D63" i="2"/>
  <c r="BB62" i="2"/>
  <c r="AX62" i="2"/>
  <c r="AH62" i="2"/>
  <c r="P62" i="2"/>
  <c r="H62" i="2"/>
  <c r="D62" i="2"/>
  <c r="BB61" i="2"/>
  <c r="AX61" i="2"/>
  <c r="AH61" i="2"/>
  <c r="P61" i="2"/>
  <c r="H61" i="2"/>
  <c r="D61" i="2"/>
  <c r="BB60" i="2"/>
  <c r="AX60" i="2"/>
  <c r="AH60" i="2"/>
  <c r="P60" i="2"/>
  <c r="H60" i="2"/>
  <c r="D60" i="2"/>
  <c r="BB59" i="2"/>
  <c r="AX59" i="2"/>
  <c r="AH59" i="2"/>
  <c r="P59" i="2"/>
  <c r="H59" i="2"/>
  <c r="D59" i="2"/>
  <c r="BB58" i="2"/>
  <c r="AX58" i="2"/>
  <c r="AH58" i="2"/>
  <c r="P58" i="2"/>
  <c r="H58" i="2"/>
  <c r="D58" i="2"/>
  <c r="BB57" i="2"/>
  <c r="AX57" i="2"/>
  <c r="AH57" i="2"/>
  <c r="P57" i="2"/>
  <c r="H57" i="2"/>
  <c r="D57" i="2"/>
  <c r="BB56" i="2"/>
  <c r="AX56" i="2"/>
  <c r="AH56" i="2"/>
  <c r="P56" i="2"/>
  <c r="H56" i="2"/>
  <c r="D56" i="2"/>
  <c r="BB55" i="2"/>
  <c r="AX55" i="2"/>
  <c r="AH55" i="2"/>
  <c r="P55" i="2"/>
  <c r="H55" i="2"/>
  <c r="D55" i="2"/>
  <c r="BB54" i="2"/>
  <c r="AX54" i="2"/>
  <c r="AH54" i="2"/>
  <c r="P54" i="2"/>
  <c r="H54" i="2"/>
  <c r="D54" i="2"/>
  <c r="BB53" i="2"/>
  <c r="AX53" i="2"/>
  <c r="AH53" i="2"/>
  <c r="P53" i="2"/>
  <c r="H53" i="2"/>
  <c r="D53" i="2"/>
  <c r="BB52" i="2"/>
  <c r="AX52" i="2"/>
  <c r="AH52" i="2"/>
  <c r="P52" i="2"/>
  <c r="H52" i="2"/>
  <c r="D52" i="2"/>
  <c r="BB51" i="2"/>
  <c r="AX51" i="2"/>
  <c r="AH51" i="2"/>
  <c r="P51" i="2"/>
  <c r="H51" i="2"/>
  <c r="D51" i="2"/>
  <c r="BJ50" i="2"/>
  <c r="BB50" i="2"/>
  <c r="AX50" i="2"/>
  <c r="AH50" i="2"/>
  <c r="P50" i="2"/>
  <c r="H50" i="2"/>
  <c r="D50" i="2"/>
  <c r="BJ49" i="2"/>
  <c r="BB49" i="2"/>
  <c r="AX49" i="2"/>
  <c r="AH49" i="2"/>
  <c r="P49" i="2"/>
  <c r="H49" i="2"/>
  <c r="D49" i="2"/>
  <c r="BJ48" i="2"/>
  <c r="BB48" i="2"/>
  <c r="AX48" i="2"/>
  <c r="AH48" i="2"/>
  <c r="P48" i="2"/>
  <c r="H48" i="2"/>
  <c r="D48" i="2"/>
  <c r="BJ47" i="2"/>
  <c r="BB47" i="2"/>
  <c r="AX47" i="2"/>
  <c r="AH47" i="2"/>
  <c r="P47" i="2"/>
  <c r="H47" i="2"/>
  <c r="D47" i="2"/>
  <c r="BJ46" i="2"/>
  <c r="BB46" i="2"/>
  <c r="AX46" i="2"/>
  <c r="AH46" i="2"/>
  <c r="P46" i="2"/>
  <c r="H46" i="2"/>
  <c r="D46" i="2"/>
  <c r="BJ45" i="2"/>
  <c r="BB45" i="2"/>
  <c r="AX45" i="2"/>
  <c r="AH45" i="2"/>
  <c r="P45" i="2"/>
  <c r="H45" i="2"/>
  <c r="D45" i="2"/>
  <c r="BJ44" i="2"/>
  <c r="BB44" i="2"/>
  <c r="AX44" i="2"/>
  <c r="AH44" i="2"/>
  <c r="P44" i="2"/>
  <c r="H44" i="2"/>
  <c r="D44" i="2"/>
  <c r="BJ43" i="2"/>
  <c r="BB43" i="2"/>
  <c r="AX43" i="2"/>
  <c r="AH43" i="2"/>
  <c r="P43" i="2"/>
  <c r="L43" i="2"/>
  <c r="H43" i="2"/>
  <c r="D43" i="2"/>
  <c r="BJ42" i="2"/>
  <c r="BB42" i="2"/>
  <c r="AX42" i="2"/>
  <c r="AH42" i="2"/>
  <c r="P42" i="2"/>
  <c r="L42" i="2"/>
  <c r="H42" i="2"/>
  <c r="D42" i="2"/>
  <c r="BJ41" i="2"/>
  <c r="BB41" i="2"/>
  <c r="AX41" i="2"/>
  <c r="AH41" i="2"/>
  <c r="P41" i="2"/>
  <c r="L41" i="2"/>
  <c r="H41" i="2"/>
  <c r="D41" i="2"/>
  <c r="BJ40" i="2"/>
  <c r="BB40" i="2"/>
  <c r="AX40" i="2"/>
  <c r="AH40" i="2"/>
  <c r="P40" i="2"/>
  <c r="L40" i="2"/>
  <c r="H40" i="2"/>
  <c r="D40" i="2"/>
  <c r="BJ39" i="2"/>
  <c r="BB39" i="2"/>
  <c r="AX39" i="2"/>
  <c r="AH39" i="2"/>
  <c r="T39" i="2"/>
  <c r="P39" i="2"/>
  <c r="L39" i="2"/>
  <c r="H39" i="2"/>
  <c r="D39" i="2"/>
  <c r="BJ38" i="2"/>
  <c r="BB38" i="2"/>
  <c r="AX38" i="2"/>
  <c r="AH38" i="2"/>
  <c r="T38" i="2"/>
  <c r="P38" i="2"/>
  <c r="L38" i="2"/>
  <c r="H38" i="2"/>
  <c r="D38" i="2"/>
  <c r="BJ37" i="2"/>
  <c r="BB37" i="2"/>
  <c r="AX37" i="2"/>
  <c r="AH37" i="2"/>
  <c r="T37" i="2"/>
  <c r="P37" i="2"/>
  <c r="L37" i="2"/>
  <c r="H37" i="2"/>
  <c r="D37" i="2"/>
  <c r="BJ36" i="2"/>
  <c r="BB36" i="2"/>
  <c r="AX36" i="2"/>
  <c r="AH36" i="2"/>
  <c r="T36" i="2"/>
  <c r="P36" i="2"/>
  <c r="L36" i="2"/>
  <c r="H36" i="2"/>
  <c r="D36" i="2"/>
  <c r="BJ35" i="2"/>
  <c r="BB35" i="2"/>
  <c r="AX35" i="2"/>
  <c r="AH35" i="2"/>
  <c r="T35" i="2"/>
  <c r="P35" i="2"/>
  <c r="L35" i="2"/>
  <c r="H35" i="2"/>
  <c r="D35" i="2"/>
  <c r="BJ34" i="2"/>
  <c r="BB34" i="2"/>
  <c r="AX34" i="2"/>
  <c r="AH34" i="2"/>
  <c r="T34" i="2"/>
  <c r="P34" i="2"/>
  <c r="L34" i="2"/>
  <c r="H34" i="2"/>
  <c r="D34" i="2"/>
  <c r="BJ33" i="2"/>
  <c r="BB33" i="2"/>
  <c r="AX33" i="2"/>
  <c r="AH33" i="2"/>
  <c r="T33" i="2"/>
  <c r="P33" i="2"/>
  <c r="L33" i="2"/>
  <c r="H33" i="2"/>
  <c r="D33" i="2"/>
  <c r="BJ32" i="2"/>
  <c r="BB32" i="2"/>
  <c r="AX32" i="2"/>
  <c r="AH32" i="2"/>
  <c r="T32" i="2"/>
  <c r="P32" i="2"/>
  <c r="L32" i="2"/>
  <c r="H32" i="2"/>
  <c r="D32" i="2"/>
  <c r="BJ31" i="2"/>
  <c r="BB31" i="2"/>
  <c r="AX31" i="2"/>
  <c r="AH31" i="2"/>
  <c r="T31" i="2"/>
  <c r="P31" i="2"/>
  <c r="L31" i="2"/>
  <c r="H31" i="2"/>
  <c r="D31" i="2"/>
  <c r="BJ30" i="2"/>
  <c r="BB30" i="2"/>
  <c r="AX30" i="2"/>
  <c r="AT30" i="2"/>
  <c r="AH30" i="2"/>
  <c r="T30" i="2"/>
  <c r="P30" i="2"/>
  <c r="L30" i="2"/>
  <c r="H30" i="2"/>
  <c r="D30" i="2"/>
  <c r="BJ29" i="2"/>
  <c r="BB29" i="2"/>
  <c r="AX29" i="2"/>
  <c r="AT29" i="2"/>
  <c r="AH29" i="2"/>
  <c r="T29" i="2"/>
  <c r="P29" i="2"/>
  <c r="L29" i="2"/>
  <c r="H29" i="2"/>
  <c r="D29" i="2"/>
  <c r="BJ28" i="2"/>
  <c r="BB28" i="2"/>
  <c r="AX28" i="2"/>
  <c r="AT28" i="2"/>
  <c r="AH28" i="2"/>
  <c r="T28" i="2"/>
  <c r="P28" i="2"/>
  <c r="L28" i="2"/>
  <c r="H28" i="2"/>
  <c r="D28" i="2"/>
  <c r="BJ27" i="2"/>
  <c r="BB27" i="2"/>
  <c r="AX27" i="2"/>
  <c r="AT27" i="2"/>
  <c r="AH27" i="2"/>
  <c r="T27" i="2"/>
  <c r="P27" i="2"/>
  <c r="L27" i="2"/>
  <c r="H27" i="2"/>
  <c r="D27" i="2"/>
  <c r="BJ26" i="2"/>
  <c r="BB26" i="2"/>
  <c r="AX26" i="2"/>
  <c r="AT26" i="2"/>
  <c r="AH26" i="2"/>
  <c r="T26" i="2"/>
  <c r="P26" i="2"/>
  <c r="L26" i="2"/>
  <c r="H26" i="2"/>
  <c r="D26" i="2"/>
  <c r="BJ25" i="2"/>
  <c r="BB25" i="2"/>
  <c r="AX25" i="2"/>
  <c r="AT25" i="2"/>
  <c r="AH25" i="2"/>
  <c r="T25" i="2"/>
  <c r="P25" i="2"/>
  <c r="L25" i="2"/>
  <c r="H25" i="2"/>
  <c r="D25" i="2"/>
  <c r="BJ24" i="2"/>
  <c r="BB24" i="2"/>
  <c r="AX24" i="2"/>
  <c r="AT24" i="2"/>
  <c r="AH24" i="2"/>
  <c r="T24" i="2"/>
  <c r="P24" i="2"/>
  <c r="L24" i="2"/>
  <c r="H24" i="2"/>
  <c r="D24" i="2"/>
  <c r="BJ23" i="2"/>
  <c r="BB23" i="2"/>
  <c r="AX23" i="2"/>
  <c r="AT23" i="2"/>
  <c r="AH23" i="2"/>
  <c r="T23" i="2"/>
  <c r="P23" i="2"/>
  <c r="L23" i="2"/>
  <c r="H23" i="2"/>
  <c r="D23" i="2"/>
  <c r="BJ22" i="2"/>
  <c r="BB22" i="2"/>
  <c r="AX22" i="2"/>
  <c r="AT22" i="2"/>
  <c r="AH22" i="2"/>
  <c r="T22" i="2"/>
  <c r="P22" i="2"/>
  <c r="L22" i="2"/>
  <c r="H22" i="2"/>
  <c r="D22" i="2"/>
  <c r="BJ21" i="2"/>
  <c r="BB21" i="2"/>
  <c r="AX21" i="2"/>
  <c r="AT21" i="2"/>
  <c r="AH21" i="2"/>
  <c r="T21" i="2"/>
  <c r="P21" i="2"/>
  <c r="L21" i="2"/>
  <c r="H21" i="2"/>
  <c r="D21" i="2"/>
  <c r="BJ20" i="2"/>
  <c r="BB20" i="2"/>
  <c r="AX20" i="2"/>
  <c r="AT20" i="2"/>
  <c r="AH20" i="2"/>
  <c r="T20" i="2"/>
  <c r="P20" i="2"/>
  <c r="L20" i="2"/>
  <c r="H20" i="2"/>
  <c r="D20" i="2"/>
  <c r="BJ19" i="2"/>
  <c r="BB19" i="2"/>
  <c r="AX19" i="2"/>
  <c r="AT19" i="2"/>
  <c r="AH19" i="2"/>
  <c r="T19" i="2"/>
  <c r="P19" i="2"/>
  <c r="L19" i="2"/>
  <c r="H19" i="2"/>
  <c r="D19" i="2"/>
  <c r="BJ18" i="2"/>
  <c r="BF18" i="2"/>
  <c r="BB18" i="2"/>
  <c r="AX18" i="2"/>
  <c r="AT18" i="2"/>
  <c r="AH18" i="2"/>
  <c r="T18" i="2"/>
  <c r="P18" i="2"/>
  <c r="L18" i="2"/>
  <c r="H18" i="2"/>
  <c r="D18" i="2"/>
  <c r="BJ17" i="2"/>
  <c r="BF17" i="2"/>
  <c r="BB17" i="2"/>
  <c r="AX17" i="2"/>
  <c r="AT17" i="2"/>
  <c r="AL17" i="2"/>
  <c r="AH17" i="2"/>
  <c r="T17" i="2"/>
  <c r="P17" i="2"/>
  <c r="L17" i="2"/>
  <c r="H17" i="2"/>
  <c r="D17" i="2"/>
  <c r="BJ16" i="2"/>
  <c r="BF16" i="2"/>
  <c r="BB16" i="2"/>
  <c r="AX16" i="2"/>
  <c r="AT16" i="2"/>
  <c r="AL16" i="2"/>
  <c r="AH16" i="2"/>
  <c r="T16" i="2"/>
  <c r="P16" i="2"/>
  <c r="L16" i="2"/>
  <c r="H16" i="2"/>
  <c r="D16" i="2"/>
  <c r="BJ15" i="2"/>
  <c r="BF15" i="2"/>
  <c r="BB15" i="2"/>
  <c r="AX15" i="2"/>
  <c r="AT15" i="2"/>
  <c r="AL15" i="2"/>
  <c r="AH15" i="2"/>
  <c r="T15" i="2"/>
  <c r="P15" i="2"/>
  <c r="L15" i="2"/>
  <c r="H15" i="2"/>
  <c r="D15" i="2"/>
  <c r="BJ14" i="2"/>
  <c r="BF14" i="2"/>
  <c r="BB14" i="2"/>
  <c r="AX14" i="2"/>
  <c r="AT14" i="2"/>
  <c r="AP14" i="2"/>
  <c r="AL14" i="2"/>
  <c r="AH14" i="2"/>
  <c r="T14" i="2"/>
  <c r="P14" i="2"/>
  <c r="L14" i="2"/>
  <c r="H14" i="2"/>
  <c r="D14" i="2"/>
  <c r="BJ13" i="2"/>
  <c r="BF13" i="2"/>
  <c r="BB13" i="2"/>
  <c r="AX13" i="2"/>
  <c r="AT13" i="2"/>
  <c r="AP13" i="2"/>
  <c r="AL13" i="2"/>
  <c r="AH13" i="2"/>
  <c r="T13" i="2"/>
  <c r="P13" i="2"/>
  <c r="L13" i="2"/>
  <c r="H13" i="2"/>
  <c r="D13" i="2"/>
  <c r="BJ12" i="2"/>
  <c r="BF12" i="2"/>
  <c r="BB12" i="2"/>
  <c r="AX12" i="2"/>
  <c r="AT12" i="2"/>
  <c r="AP12" i="2"/>
  <c r="AL12" i="2"/>
  <c r="AH12" i="2"/>
  <c r="T12" i="2"/>
  <c r="P12" i="2"/>
  <c r="L12" i="2"/>
  <c r="H12" i="2"/>
  <c r="D12" i="2"/>
  <c r="BJ11" i="2"/>
  <c r="BF11" i="2"/>
  <c r="BB11" i="2"/>
  <c r="AX11" i="2"/>
  <c r="AT11" i="2"/>
  <c r="AP11" i="2"/>
  <c r="AL11" i="2"/>
  <c r="AH11" i="2"/>
  <c r="T11" i="2"/>
  <c r="P11" i="2"/>
  <c r="L11" i="2"/>
  <c r="H11" i="2"/>
  <c r="D11" i="2"/>
  <c r="BJ10" i="2"/>
  <c r="BF10" i="2"/>
  <c r="BB10" i="2"/>
  <c r="AX10" i="2"/>
  <c r="AT10" i="2"/>
  <c r="AP10" i="2"/>
  <c r="AL10" i="2"/>
  <c r="AH10" i="2"/>
  <c r="T10" i="2"/>
  <c r="P10" i="2"/>
  <c r="L10" i="2"/>
  <c r="H10" i="2"/>
  <c r="D10" i="2"/>
  <c r="BJ9" i="2"/>
  <c r="BF9" i="2"/>
  <c r="BB9" i="2"/>
  <c r="AX9" i="2"/>
  <c r="AT9" i="2"/>
  <c r="AP9" i="2"/>
  <c r="AL9" i="2"/>
  <c r="AH9" i="2"/>
  <c r="T9" i="2"/>
  <c r="P9" i="2"/>
  <c r="L9" i="2"/>
  <c r="H9" i="2"/>
  <c r="D9" i="2"/>
  <c r="BJ8" i="2"/>
  <c r="BF8" i="2"/>
  <c r="BB8" i="2"/>
  <c r="AX8" i="2"/>
  <c r="AT8" i="2"/>
  <c r="AP8" i="2"/>
  <c r="AL8" i="2"/>
  <c r="AH8" i="2"/>
  <c r="T8" i="2"/>
  <c r="P8" i="2"/>
  <c r="L8" i="2"/>
  <c r="H8" i="2"/>
  <c r="D8" i="2"/>
  <c r="BJ7" i="2"/>
  <c r="BF7" i="2"/>
  <c r="BB7" i="2"/>
  <c r="AX7" i="2"/>
  <c r="AT7" i="2"/>
  <c r="AP7" i="2"/>
  <c r="AL7" i="2"/>
  <c r="AH7" i="2"/>
  <c r="X7" i="2"/>
  <c r="T7" i="2"/>
  <c r="P7" i="2"/>
  <c r="L7" i="2"/>
  <c r="H7" i="2"/>
  <c r="D7" i="2"/>
  <c r="BJ6" i="2"/>
  <c r="BF6" i="2"/>
  <c r="BB6" i="2"/>
  <c r="AX6" i="2"/>
  <c r="AT6" i="2"/>
  <c r="AP6" i="2"/>
  <c r="AL6" i="2"/>
  <c r="AH6" i="2"/>
  <c r="AB6" i="2"/>
  <c r="X6" i="2"/>
  <c r="T6" i="2"/>
  <c r="P6" i="2"/>
  <c r="L6" i="2"/>
  <c r="H6" i="2"/>
  <c r="D6" i="2"/>
  <c r="BJ5" i="2"/>
  <c r="BF5" i="2"/>
  <c r="BB5" i="2"/>
  <c r="AX5" i="2"/>
  <c r="AT5" i="2"/>
  <c r="AP5" i="2"/>
  <c r="AL5" i="2"/>
  <c r="AH5" i="2"/>
  <c r="AB5" i="2"/>
  <c r="X5" i="2"/>
  <c r="T5" i="2"/>
  <c r="P5" i="2"/>
  <c r="L5" i="2"/>
  <c r="H5" i="2"/>
  <c r="D5" i="2"/>
  <c r="BJ4" i="2"/>
  <c r="BF4" i="2"/>
  <c r="BB4" i="2"/>
  <c r="AX4" i="2"/>
  <c r="AT4" i="2"/>
  <c r="AP4" i="2"/>
  <c r="AL4" i="2"/>
  <c r="AH4" i="2"/>
  <c r="AB4" i="2"/>
  <c r="X4" i="2"/>
  <c r="T4" i="2"/>
  <c r="P4" i="2"/>
  <c r="L4" i="2"/>
  <c r="H4" i="2"/>
  <c r="D4" i="2"/>
  <c r="BJ3" i="2"/>
  <c r="BF3" i="2"/>
  <c r="BB3" i="2"/>
  <c r="AX3" i="2"/>
  <c r="AT3" i="2"/>
  <c r="AP3" i="2"/>
  <c r="AL3" i="2"/>
  <c r="AH3" i="2"/>
  <c r="AB3" i="2"/>
  <c r="X3" i="2"/>
  <c r="T3" i="2"/>
  <c r="P3" i="2"/>
  <c r="L3" i="2"/>
  <c r="H3" i="2"/>
  <c r="D3" i="2"/>
  <c r="BJ2" i="2"/>
  <c r="BF2" i="2"/>
  <c r="BB2" i="2"/>
  <c r="AX2" i="2"/>
  <c r="AT2" i="2"/>
  <c r="AP2" i="2"/>
  <c r="AL2" i="2"/>
  <c r="AH2" i="2"/>
  <c r="AB2" i="2"/>
  <c r="X2" i="2"/>
  <c r="T2" i="2"/>
  <c r="P2" i="2"/>
  <c r="L2" i="2"/>
  <c r="H2" i="2"/>
  <c r="D2" i="2"/>
</calcChain>
</file>

<file path=xl/sharedStrings.xml><?xml version="1.0" encoding="utf-8"?>
<sst xmlns="http://schemas.openxmlformats.org/spreadsheetml/2006/main" count="3372" uniqueCount="2948">
  <si>
    <t>Detailed Goods Description</t>
  </si>
  <si>
    <t/>
  </si>
  <si>
    <t>Packages_1</t>
  </si>
  <si>
    <t>Previous Documents_1</t>
  </si>
  <si>
    <t>Supporting Documents_1</t>
  </si>
  <si>
    <t>Transport Documents_1</t>
  </si>
  <si>
    <t>Additional References_1</t>
  </si>
  <si>
    <t>Additional Information_1</t>
  </si>
  <si>
    <t>Export/Entrepot Declaration Dischargings_1</t>
  </si>
  <si>
    <t>Country Despatch Destination</t>
  </si>
  <si>
    <t>Transport Equipments_1</t>
  </si>
  <si>
    <t>Buyer And Seller</t>
  </si>
  <si>
    <t>HS CODE</t>
  </si>
  <si>
    <t>GOODS DESCRIPTION</t>
  </si>
  <si>
    <t>QUANTITY 1</t>
  </si>
  <si>
    <t>QUANTITY 2</t>
  </si>
  <si>
    <t>SENSITIVE GOODS QUANTITY</t>
  </si>
  <si>
    <t>SENSITIVE GOODS CODE</t>
  </si>
  <si>
    <t>INVOICE VALUE</t>
  </si>
  <si>
    <t>CURRENCY</t>
  </si>
  <si>
    <t>NET WEIGHT</t>
  </si>
  <si>
    <t>GROSS WEIGHT</t>
  </si>
  <si>
    <t>CONSIGNOR TIN</t>
  </si>
  <si>
    <t>CONSIGNOR EORI</t>
  </si>
  <si>
    <t>CONSIGNOR COUNTRY</t>
  </si>
  <si>
    <t>SENDER/CONSIGNOR NAME</t>
  </si>
  <si>
    <t>SENDER/CONSIGNOR ADDRESS</t>
  </si>
  <si>
    <t>SENDER/CONSIGNOR CITY</t>
  </si>
  <si>
    <t>CONSIGNOR POSTAL CODE</t>
  </si>
  <si>
    <t>CONSIGNEE TIN</t>
  </si>
  <si>
    <t>CONSIGNEE EORI</t>
  </si>
  <si>
    <t>CONSIGNEE COUNTRY</t>
  </si>
  <si>
    <t>CONSIGNEE NAME</t>
  </si>
  <si>
    <t>CONSIGNEE ADDRESS</t>
  </si>
  <si>
    <t>CONSIGNEE CITY</t>
  </si>
  <si>
    <t>CONSIGNEE POSTAL CODE</t>
  </si>
  <si>
    <t>UCR</t>
  </si>
  <si>
    <t>CUS code</t>
  </si>
  <si>
    <t>Supplementary Units</t>
  </si>
  <si>
    <t>Shipping Marks</t>
  </si>
  <si>
    <t>Package Type</t>
  </si>
  <si>
    <t>No. of Packages</t>
  </si>
  <si>
    <t>Previous Document Type</t>
  </si>
  <si>
    <t>Reference</t>
  </si>
  <si>
    <t>Type of Packages</t>
  </si>
  <si>
    <t>Number of Packages</t>
  </si>
  <si>
    <t>Measurement Unit and Qualifier</t>
  </si>
  <si>
    <t>Quantity</t>
  </si>
  <si>
    <t>Complementary information</t>
  </si>
  <si>
    <t>Export Good Item No</t>
  </si>
  <si>
    <t>Supporting Document Type</t>
  </si>
  <si>
    <t>Complementary Information</t>
  </si>
  <si>
    <t>Country</t>
  </si>
  <si>
    <t>Year or Date</t>
  </si>
  <si>
    <t>Transport Document Type</t>
  </si>
  <si>
    <t>Additional Reference Type</t>
  </si>
  <si>
    <t>Additional Information Id</t>
  </si>
  <si>
    <t>Additional Information</t>
  </si>
  <si>
    <t>Discharging Type</t>
  </si>
  <si>
    <t>Export/Entrepôt Declaration ID</t>
  </si>
  <si>
    <t>Discharging Item Quantity</t>
  </si>
  <si>
    <t>Quantity Unit</t>
  </si>
  <si>
    <t>Discharging Item Number/Line</t>
  </si>
  <si>
    <t>Explanation</t>
  </si>
  <si>
    <t>Is it a partial discharge?</t>
  </si>
  <si>
    <t>Value</t>
  </si>
  <si>
    <t>Currency code</t>
  </si>
  <si>
    <t>Code of the delivery terms</t>
  </si>
  <si>
    <t>Code of the payment type</t>
  </si>
  <si>
    <t>Code of the transaction type</t>
  </si>
  <si>
    <t>Code of the country of trade</t>
  </si>
  <si>
    <t>Country of Despatch</t>
  </si>
  <si>
    <t>Country of Destination</t>
  </si>
  <si>
    <t>Container ID</t>
  </si>
  <si>
    <t>Seals</t>
  </si>
  <si>
    <t>BUYER NAME</t>
  </si>
  <si>
    <t>BUYER TYPE</t>
  </si>
  <si>
    <t>BUYER EORI</t>
  </si>
  <si>
    <t>BUYER TIN</t>
  </si>
  <si>
    <t>BUYER ADDRESS</t>
  </si>
  <si>
    <t>BUYER COUNTRY</t>
  </si>
  <si>
    <t>BUYER CITY</t>
  </si>
  <si>
    <t>BUYER POSTAL CODE</t>
  </si>
  <si>
    <t>SELLER NAME</t>
  </si>
  <si>
    <t>SELLER TYPE</t>
  </si>
  <si>
    <t>SELLER EORI</t>
  </si>
  <si>
    <t>SELLER TIN</t>
  </si>
  <si>
    <t>SELLER ADDRESS</t>
  </si>
  <si>
    <t>SELLER COUNTRY</t>
  </si>
  <si>
    <t>SELLER CITY</t>
  </si>
  <si>
    <t>SELLER POSTAL CODE</t>
  </si>
  <si>
    <t>PACKAGE_CODE</t>
  </si>
  <si>
    <t>PACKAGE_NAME</t>
  </si>
  <si>
    <t>CURRENCY_CODE</t>
  </si>
  <si>
    <t>CURRENCY_NAME</t>
  </si>
  <si>
    <t>DOCUMENT_TYPE_CODE</t>
  </si>
  <si>
    <t>DOCUMENT_TYPE_NAME</t>
  </si>
  <si>
    <t>COUNTRY_CODE</t>
  </si>
  <si>
    <t>COUNTRY_NAME</t>
  </si>
  <si>
    <t>PREVIOUS_DOCUMENT_TYPE_CODE</t>
  </si>
  <si>
    <t>PREVIOUS_DOCUMENT_TYPE_NAME</t>
  </si>
  <si>
    <t>ADDITIONAL_INFO_IDENT_CODE</t>
  </si>
  <si>
    <t>ADDITIONAL_INFO_IDENT_NAME</t>
  </si>
  <si>
    <t>DISCHARGING_DECLARATION_CODE</t>
  </si>
  <si>
    <t>DISCHARGING_DECLARATION_NAME</t>
  </si>
  <si>
    <t>Export_From_EU</t>
  </si>
  <si>
    <t>DOCUMENT_TYPE_CODE_BY</t>
  </si>
  <si>
    <t>Code</t>
  </si>
  <si>
    <t>Delivery Terms</t>
  </si>
  <si>
    <t>Delivery_Terms_Code</t>
  </si>
  <si>
    <t>Payment Type</t>
  </si>
  <si>
    <t>Payment_Type_Code</t>
  </si>
  <si>
    <t>Transaction Type</t>
  </si>
  <si>
    <t>Transaction_Type_Code</t>
  </si>
  <si>
    <t>Country Trade</t>
  </si>
  <si>
    <t>Country_Trade_Code</t>
  </si>
  <si>
    <t>Measure Unit</t>
  </si>
  <si>
    <t>Measure_Unit_Code</t>
  </si>
  <si>
    <t>Transport Document</t>
  </si>
  <si>
    <t>Transport_Document_Code</t>
  </si>
  <si>
    <t>Additional Reference</t>
  </si>
  <si>
    <t>Additional_Reference_Code</t>
  </si>
  <si>
    <t>1A</t>
  </si>
  <si>
    <t>Drum, steel</t>
  </si>
  <si>
    <t>USD</t>
  </si>
  <si>
    <t>US Dollar</t>
  </si>
  <si>
    <t>C651</t>
  </si>
  <si>
    <t>Accompanying administrative document</t>
  </si>
  <si>
    <t>AD</t>
  </si>
  <si>
    <t>Andorra</t>
  </si>
  <si>
    <t>C512</t>
  </si>
  <si>
    <t>SDE - Authorisation to use simplified declaration (Column 7a, Annex A of Delegated Regulation (EU) 2015/2446)</t>
  </si>
  <si>
    <t>20300</t>
  </si>
  <si>
    <t>Export</t>
  </si>
  <si>
    <t>AN</t>
  </si>
  <si>
    <t>Entrepot Declaration Discharging</t>
  </si>
  <si>
    <t>Yes</t>
  </si>
  <si>
    <t>02015</t>
  </si>
  <si>
    <t>CMR</t>
  </si>
  <si>
    <t>CFR</t>
  </si>
  <si>
    <t xml:space="preserve">	Cost and Freight</t>
  </si>
  <si>
    <t>1</t>
  </si>
  <si>
    <t>Cash Against Goods</t>
  </si>
  <si>
    <t>11</t>
  </si>
  <si>
    <t>Transactions in which the Property of the Goods has been transferred in monetary or other terms - Direct Purchase or Sale</t>
  </si>
  <si>
    <t>F01</t>
  </si>
  <si>
    <t>ANTALYA FREE ZONE</t>
  </si>
  <si>
    <t>ASV</t>
  </si>
  <si>
    <t>%vol</t>
  </si>
  <si>
    <t>N740</t>
  </si>
  <si>
    <t>Air waybill</t>
  </si>
  <si>
    <t>Y910</t>
  </si>
  <si>
    <t>Bigeye tuna taken by seiners or baitboats and intended mainly for the canning industry in the areas of application of the Agreement for the establishment of the Indian Ocean Tuna Commission (IOTC Agreement) and the ICCAT Convention.</t>
  </si>
  <si>
    <t>1B</t>
  </si>
  <si>
    <t>Drum, aluminium</t>
  </si>
  <si>
    <t>AFN</t>
  </si>
  <si>
    <t>Afghanistan Afghani</t>
  </si>
  <si>
    <t>L001</t>
  </si>
  <si>
    <t>AGRIM Import Certificate</t>
  </si>
  <si>
    <t>AE</t>
  </si>
  <si>
    <t>United Arab Emirates</t>
  </si>
  <si>
    <t>C605</t>
  </si>
  <si>
    <t>Information sheet INF3</t>
  </si>
  <si>
    <t>20200</t>
  </si>
  <si>
    <t>Export from one EFTA country subject to duties or export from the Union subject to duties</t>
  </si>
  <si>
    <t>02</t>
  </si>
  <si>
    <t>Part of the Summary Declaration</t>
  </si>
  <si>
    <t>No</t>
  </si>
  <si>
    <t>04021</t>
  </si>
  <si>
    <t>Invoice</t>
  </si>
  <si>
    <t>CIF</t>
  </si>
  <si>
    <t>Cost, Insurance and Freight</t>
  </si>
  <si>
    <t>2</t>
  </si>
  <si>
    <t>Cash Payment</t>
  </si>
  <si>
    <t>12</t>
  </si>
  <si>
    <t>Transactions in which the Property of the Goods has been transferred in monetary or other terms - Consignment Sales or Broker Sales</t>
  </si>
  <si>
    <t>F02</t>
  </si>
  <si>
    <t>AHL FREE ZONE</t>
  </si>
  <si>
    <t>ASVX</t>
  </si>
  <si>
    <t>%vol per hectolitre</t>
  </si>
  <si>
    <t>N955</t>
  </si>
  <si>
    <t>ATA carnet</t>
  </si>
  <si>
    <t>Y028</t>
  </si>
  <si>
    <t>Carrier (AEO certificate number)</t>
  </si>
  <si>
    <t>1D</t>
  </si>
  <si>
    <t>Drum, plywood</t>
  </si>
  <si>
    <t>XAU</t>
  </si>
  <si>
    <t>Gold (oz.)</t>
  </si>
  <si>
    <t>N852</t>
  </si>
  <si>
    <t>Analysis and health certificate</t>
  </si>
  <si>
    <t>AF</t>
  </si>
  <si>
    <t>Afghanistan</t>
  </si>
  <si>
    <t>C612</t>
  </si>
  <si>
    <t>Internal Community transit Declaration — Article 227 of the Code</t>
  </si>
  <si>
    <t>20100</t>
  </si>
  <si>
    <t>Export from one EFTA country subject to restriction or export from the Union subject to restriction</t>
  </si>
  <si>
    <t>03</t>
  </si>
  <si>
    <t>Part of the Transport Document</t>
  </si>
  <si>
    <t>04025</t>
  </si>
  <si>
    <t>Proforma invoice</t>
  </si>
  <si>
    <t>CIP</t>
  </si>
  <si>
    <t>Carriage and Insurance Paid To</t>
  </si>
  <si>
    <t>3</t>
  </si>
  <si>
    <t>Cash Against Documents</t>
  </si>
  <si>
    <t>13</t>
  </si>
  <si>
    <t>Transactions in which the Property of the Goods has been transferred in monetary or other terms - Exchange</t>
  </si>
  <si>
    <t>F03</t>
  </si>
  <si>
    <t>İstanbul Industry and Trade FREE ZONE</t>
  </si>
  <si>
    <t>CCT</t>
  </si>
  <si>
    <t>Carrying capacity in metric tonnes</t>
  </si>
  <si>
    <t>N705</t>
  </si>
  <si>
    <t>Bill of lading</t>
  </si>
  <si>
    <t>Y023</t>
  </si>
  <si>
    <t>Consignee (AEO certificate number)</t>
  </si>
  <si>
    <t>1F</t>
  </si>
  <si>
    <t>Contenedor flexible</t>
  </si>
  <si>
    <t>AOA</t>
  </si>
  <si>
    <t>Kwanza</t>
  </si>
  <si>
    <t>N018</t>
  </si>
  <si>
    <t>ATR certificate</t>
  </si>
  <si>
    <t>AG</t>
  </si>
  <si>
    <t>Antigua and Barbuda</t>
  </si>
  <si>
    <t>C620</t>
  </si>
  <si>
    <t>Proof of the customs status of Union goods T2LF</t>
  </si>
  <si>
    <t>30600</t>
  </si>
  <si>
    <t>In EXS, where negotiable bills of lading to order blank endorsed are concerned and the consignee particulars are unknown.</t>
  </si>
  <si>
    <t>EX</t>
  </si>
  <si>
    <t>Export Declaration</t>
  </si>
  <si>
    <t>01206</t>
  </si>
  <si>
    <t>Certificater of state registration SGR</t>
  </si>
  <si>
    <t>CPT</t>
  </si>
  <si>
    <t>Carriage Paid To</t>
  </si>
  <si>
    <t>4</t>
  </si>
  <si>
    <t>Cash Payment (In Paper)</t>
  </si>
  <si>
    <t>14</t>
  </si>
  <si>
    <t>Transactions in which the Property of the Goods has been transferred in monetary or other terms - Personal Purchasing of Passengers</t>
  </si>
  <si>
    <t>F04</t>
  </si>
  <si>
    <t>EGE FREE ZONE</t>
  </si>
  <si>
    <t>CEN</t>
  </si>
  <si>
    <t>Hundred items</t>
  </si>
  <si>
    <t>N787</t>
  </si>
  <si>
    <t>Bordereau (cargo load list)</t>
  </si>
  <si>
    <t>Y022</t>
  </si>
  <si>
    <t>Consignor / exporter (AEO certificate number)</t>
  </si>
  <si>
    <t>1G</t>
  </si>
  <si>
    <t>Drum, fibre</t>
  </si>
  <si>
    <t>XCD</t>
  </si>
  <si>
    <t>East Carribbean Dollar</t>
  </si>
  <si>
    <t>N933</t>
  </si>
  <si>
    <t>Cargo declaration (arrival)</t>
  </si>
  <si>
    <t>AI</t>
  </si>
  <si>
    <t>Anguilla</t>
  </si>
  <si>
    <t>AAD - Administrative Accompanying Document (EMCS)</t>
  </si>
  <si>
    <t>FSA</t>
  </si>
  <si>
    <t>This is used for dutyfree movements.</t>
  </si>
  <si>
    <t>ET</t>
  </si>
  <si>
    <t>ETGB</t>
  </si>
  <si>
    <t>02024</t>
  </si>
  <si>
    <t>TIR carnet</t>
  </si>
  <si>
    <t>DAF</t>
  </si>
  <si>
    <t xml:space="preserve">	Delivered At Frontier</t>
  </si>
  <si>
    <t>6</t>
  </si>
  <si>
    <t>Deferred Payment Credit</t>
  </si>
  <si>
    <t>15</t>
  </si>
  <si>
    <t>Transactions in which the Property of the Goods has been transferred in monetary or other terms - Financial Leasing</t>
  </si>
  <si>
    <t>F05</t>
  </si>
  <si>
    <t>MERSİN FREE ZONE</t>
  </si>
  <si>
    <t>CTM</t>
  </si>
  <si>
    <t>Carats (one metric carat = 2 x 10-4kg)</t>
  </si>
  <si>
    <t>N785</t>
  </si>
  <si>
    <t>Cargo manifest</t>
  </si>
  <si>
    <t>Y117</t>
  </si>
  <si>
    <t>Dangerous product — release for free circulation not authorised — Regulation (EU) 2019/1020, Art. 28(1)</t>
  </si>
  <si>
    <t>1W</t>
  </si>
  <si>
    <t>Drum, wooden</t>
  </si>
  <si>
    <t>C673</t>
  </si>
  <si>
    <t>Catch certificate</t>
  </si>
  <si>
    <t>AL</t>
  </si>
  <si>
    <t>Albania</t>
  </si>
  <si>
    <t>C658</t>
  </si>
  <si>
    <t>FAD - Fallback e-AD (EMCS)</t>
  </si>
  <si>
    <t>PTT</t>
  </si>
  <si>
    <t>This used for Post and Telegraph Organization.</t>
  </si>
  <si>
    <t>09015</t>
  </si>
  <si>
    <t>DAP</t>
  </si>
  <si>
    <t xml:space="preserve">	Delivered At Place</t>
  </si>
  <si>
    <t>7</t>
  </si>
  <si>
    <t>Free of Charge</t>
  </si>
  <si>
    <t>19</t>
  </si>
  <si>
    <t>Transactions in which the Property of the Goods has been transferred in monetary or other terms - Other</t>
  </si>
  <si>
    <t>F06</t>
  </si>
  <si>
    <t>TRAKYA FREE ZONE</t>
  </si>
  <si>
    <t>Decatonne, corrected according to polarisation</t>
  </si>
  <si>
    <t>N720</t>
  </si>
  <si>
    <t>Consignment note CIM</t>
  </si>
  <si>
    <t>Y024</t>
  </si>
  <si>
    <t>Declarant (AEO certificate number)</t>
  </si>
  <si>
    <t>2C</t>
  </si>
  <si>
    <t>Barrel, wooden</t>
  </si>
  <si>
    <t>ARS</t>
  </si>
  <si>
    <t>Argentine Peso</t>
  </si>
  <si>
    <t>N865</t>
  </si>
  <si>
    <t>Certificate of origin Form A</t>
  </si>
  <si>
    <t>AM</t>
  </si>
  <si>
    <t>Armenia</t>
  </si>
  <si>
    <t>C710</t>
  </si>
  <si>
    <t>Information sheet</t>
  </si>
  <si>
    <t>01207</t>
  </si>
  <si>
    <t>Phytosanitary certificate</t>
  </si>
  <si>
    <t>DAT</t>
  </si>
  <si>
    <t xml:space="preserve">	Delivered At Terminal</t>
  </si>
  <si>
    <t>Private Barter</t>
  </si>
  <si>
    <t>21</t>
  </si>
  <si>
    <t>Return of Goods-Returned Goods</t>
  </si>
  <si>
    <t>F07</t>
  </si>
  <si>
    <t>TRABZON FREE ZONE</t>
  </si>
  <si>
    <t>DHS</t>
  </si>
  <si>
    <t>Kilogram of dihydrostreptomycin</t>
  </si>
  <si>
    <t>N235</t>
  </si>
  <si>
    <t>Container list</t>
  </si>
  <si>
    <t>Y903</t>
  </si>
  <si>
    <t>Declared goods are not included in the list of cultural goods</t>
  </si>
  <si>
    <t>3A</t>
  </si>
  <si>
    <t>Jerrycan, steel</t>
  </si>
  <si>
    <t>ALL</t>
  </si>
  <si>
    <t>Albanian Lek</t>
  </si>
  <si>
    <t>N003</t>
  </si>
  <si>
    <t>Certificate of quality</t>
  </si>
  <si>
    <t>Netherlands Antilles</t>
  </si>
  <si>
    <t>DIZP</t>
  </si>
  <si>
    <t>Exit Disposition</t>
  </si>
  <si>
    <t>01201</t>
  </si>
  <si>
    <t>Veterinary certificate</t>
  </si>
  <si>
    <t>DDP</t>
  </si>
  <si>
    <t xml:space="preserve">	Delivered Duty Paid</t>
  </si>
  <si>
    <t>Letter of Credit</t>
  </si>
  <si>
    <t>22</t>
  </si>
  <si>
    <t>Replacement of Returned Goods</t>
  </si>
  <si>
    <t>F09</t>
  </si>
  <si>
    <t>MARDİN FREE ZONE</t>
  </si>
  <si>
    <t>DTN</t>
  </si>
  <si>
    <t>Hectokilogram</t>
  </si>
  <si>
    <t>N714</t>
  </si>
  <si>
    <t>House bill of lading</t>
  </si>
  <si>
    <t>Y900</t>
  </si>
  <si>
    <t>Declared goods do not belong to the Washington Convention (CITES)</t>
  </si>
  <si>
    <t>3H</t>
  </si>
  <si>
    <t>Jerrycan, plastic</t>
  </si>
  <si>
    <t>AWG</t>
  </si>
  <si>
    <t>Aruban  Guilder</t>
  </si>
  <si>
    <t>C640</t>
  </si>
  <si>
    <t>CHED-A</t>
  </si>
  <si>
    <t>AO</t>
  </si>
  <si>
    <t>Angola</t>
  </si>
  <si>
    <t>09024</t>
  </si>
  <si>
    <t xml:space="preserve">Certificate of approval of a vehicle - international carriage of goods </t>
  </si>
  <si>
    <t>DDU</t>
  </si>
  <si>
    <t xml:space="preserve">	Delivered Duty Unpaid</t>
  </si>
  <si>
    <t>Counter Purchase</t>
  </si>
  <si>
    <t>23</t>
  </si>
  <si>
    <t>Replacement of Returned Goods Without Returning Goods (Example: Under Warranty)</t>
  </si>
  <si>
    <t>F10</t>
  </si>
  <si>
    <t>RİZE FREE ZONE</t>
  </si>
  <si>
    <t>DTNE</t>
  </si>
  <si>
    <t>Hectokilogram of drained net weight</t>
  </si>
  <si>
    <t>N703</t>
  </si>
  <si>
    <t>House waybill</t>
  </si>
  <si>
    <t>Electronic administrative document (e-AD), as referred to in Article 3(1) of Reg. (EC) No 684/2009</t>
  </si>
  <si>
    <t>43</t>
  </si>
  <si>
    <t>Bag, super bulk</t>
  </si>
  <si>
    <t>AUD</t>
  </si>
  <si>
    <t>Australian Dollar</t>
  </si>
  <si>
    <t>C678</t>
  </si>
  <si>
    <t>CHED - D</t>
  </si>
  <si>
    <t>AQ</t>
  </si>
  <si>
    <t>Antarctica</t>
  </si>
  <si>
    <t>N270</t>
  </si>
  <si>
    <t>Delivery note</t>
  </si>
  <si>
    <t>01011</t>
  </si>
  <si>
    <t>Export/import licence</t>
  </si>
  <si>
    <t>DEQ</t>
  </si>
  <si>
    <t>Delivered Ex Quay (Duty Paid)</t>
  </si>
  <si>
    <t>Acceptance Credit L/C</t>
  </si>
  <si>
    <t>29</t>
  </si>
  <si>
    <t>Return of goods-Return to Consignor</t>
  </si>
  <si>
    <t>F11</t>
  </si>
  <si>
    <t>SAMSUN FREE ZONE</t>
  </si>
  <si>
    <t>DTNF</t>
  </si>
  <si>
    <t>Hectokilogram of common wheat</t>
  </si>
  <si>
    <t>N741</t>
  </si>
  <si>
    <t>Master airwaybill</t>
  </si>
  <si>
    <t>Y070</t>
  </si>
  <si>
    <t>Exemption from the requirement of presenting FLEGT licence by virtue of Article 4.3 of Council Regulation (EC) No 2173/2005</t>
  </si>
  <si>
    <t>44</t>
  </si>
  <si>
    <t>Saco de plástico (polibag)</t>
  </si>
  <si>
    <t>AZN</t>
  </si>
  <si>
    <t>Azerbaijanian Manat</t>
  </si>
  <si>
    <t>N853</t>
  </si>
  <si>
    <t>CHED-P</t>
  </si>
  <si>
    <t>AR</t>
  </si>
  <si>
    <t>Argentina</t>
  </si>
  <si>
    <t>N271</t>
  </si>
  <si>
    <t>Packing list</t>
  </si>
  <si>
    <t>01017</t>
  </si>
  <si>
    <t>Permit to export / import licencing goods</t>
  </si>
  <si>
    <t>DES</t>
  </si>
  <si>
    <t>Delivered Ex Ship</t>
  </si>
  <si>
    <t>Acceptance Credit Against Documents</t>
  </si>
  <si>
    <t>31</t>
  </si>
  <si>
    <t>Transactions in which the Ownership of the Goods is transferred without monetary or other provision - Aid programs, fully or partially financed by the EU</t>
  </si>
  <si>
    <t>F12</t>
  </si>
  <si>
    <t>KAYSERİ FREE ZONE</t>
  </si>
  <si>
    <t>DTNG</t>
  </si>
  <si>
    <t>Hectokilogram , gross</t>
  </si>
  <si>
    <t>N704</t>
  </si>
  <si>
    <t>Master bill of lading</t>
  </si>
  <si>
    <t>Y951</t>
  </si>
  <si>
    <t>Exemptions from the Reduction of the quantity of hydrofluorocarbons placed on the market by virtue of Article 15.2 of Regulation (EU) No 517/2014</t>
  </si>
  <si>
    <t>4A</t>
  </si>
  <si>
    <t>Box, steel</t>
  </si>
  <si>
    <t>BSD</t>
  </si>
  <si>
    <t>Bahamian Dollar</t>
  </si>
  <si>
    <t>C085</t>
  </si>
  <si>
    <t>CHED-PP</t>
  </si>
  <si>
    <t>AS</t>
  </si>
  <si>
    <t>American Samoa</t>
  </si>
  <si>
    <t>N325</t>
  </si>
  <si>
    <t>01061</t>
  </si>
  <si>
    <t>Permit to import of plant protection products (pesticides)</t>
  </si>
  <si>
    <t>EXW</t>
  </si>
  <si>
    <t>Ex Works</t>
  </si>
  <si>
    <t>16</t>
  </si>
  <si>
    <t>Acceptance Credit Against Goods</t>
  </si>
  <si>
    <t>32</t>
  </si>
  <si>
    <t>Transactions in which the Ownership of the Goods is transferred without monetary or other provision - General Government Assistance Programs (Public Legal Entities)</t>
  </si>
  <si>
    <t>F13</t>
  </si>
  <si>
    <t>AVRUPA FREE ZONE</t>
  </si>
  <si>
    <t>DTNL</t>
  </si>
  <si>
    <t>Hectokilogram of live weight</t>
  </si>
  <si>
    <t>N750</t>
  </si>
  <si>
    <t xml:space="preserve">Movement by post including parcel post </t>
  </si>
  <si>
    <t>Fallback Accompanying Document for movements of excise goods under suspension of excise duty (FAD), as referred to in Article 8(1) Reg. (EC) No 684/2009</t>
  </si>
  <si>
    <t>4B</t>
  </si>
  <si>
    <t>Box, aluminium</t>
  </si>
  <si>
    <t>BHD</t>
  </si>
  <si>
    <t>Bahraini Dinar</t>
  </si>
  <si>
    <t>N380</t>
  </si>
  <si>
    <t>Commercial Invoice</t>
  </si>
  <si>
    <t>AT</t>
  </si>
  <si>
    <t>Austrian</t>
  </si>
  <si>
    <t>N337</t>
  </si>
  <si>
    <t>Temporary storage declaration</t>
  </si>
  <si>
    <t>01072</t>
  </si>
  <si>
    <t>Permit to  the transit of toxic substances</t>
  </si>
  <si>
    <t>FAS</t>
  </si>
  <si>
    <t>Free Alongside Ship</t>
  </si>
  <si>
    <t>17</t>
  </si>
  <si>
    <t>Special Account</t>
  </si>
  <si>
    <t>33</t>
  </si>
  <si>
    <t>Transactions in which the Ownership of the Goods is transferred without monetary or other provision - Other Aid Programs (Private legal entities, natural persons and non-governmental organizations)</t>
  </si>
  <si>
    <t>F14</t>
  </si>
  <si>
    <t>GAZİANTEP FREE ZONE</t>
  </si>
  <si>
    <t>DTNM</t>
  </si>
  <si>
    <t>Hectokilogram net of dry matter</t>
  </si>
  <si>
    <t>N760</t>
  </si>
  <si>
    <t>Multimodal / combined transport document</t>
  </si>
  <si>
    <t>Y932</t>
  </si>
  <si>
    <t>Goods benefitting from a derogation to CITES controls according to Article 7(3) of Council Regulation (EC) No 338/97</t>
  </si>
  <si>
    <t>4C</t>
  </si>
  <si>
    <t>Box, natural wood</t>
  </si>
  <si>
    <t>BDT</t>
  </si>
  <si>
    <t>Bangladeshi Taka</t>
  </si>
  <si>
    <t>N862</t>
  </si>
  <si>
    <t>Declaration of origin</t>
  </si>
  <si>
    <t>AU</t>
  </si>
  <si>
    <t>Australia</t>
  </si>
  <si>
    <t>N355</t>
  </si>
  <si>
    <t>Entry summary declaration</t>
  </si>
  <si>
    <t>01081</t>
  </si>
  <si>
    <t>Permit to import pharmaceutical products</t>
  </si>
  <si>
    <t>FCA</t>
  </si>
  <si>
    <t>Free CARRIER</t>
  </si>
  <si>
    <t>41</t>
  </si>
  <si>
    <t>Goods Arrived / Shipped for Processing and Expected to Return to the First Country of Export (Contracted)</t>
  </si>
  <si>
    <t>F15</t>
  </si>
  <si>
    <t>İzmir FREE ZONE</t>
  </si>
  <si>
    <t>DTNR</t>
  </si>
  <si>
    <t>Hectokilogram of the standard quality</t>
  </si>
  <si>
    <t>Y931</t>
  </si>
  <si>
    <t>Goods benefitting from derogation to veterinary controls according to Article 6.1b of Commission Decision (EC) No 275/2007</t>
  </si>
  <si>
    <t>4D</t>
  </si>
  <si>
    <t>Box, plywood</t>
  </si>
  <si>
    <t>BBD</t>
  </si>
  <si>
    <t>Barbados Dollar</t>
  </si>
  <si>
    <t>C641</t>
  </si>
  <si>
    <t>Dissostichus - Capture, import document</t>
  </si>
  <si>
    <t>AW</t>
  </si>
  <si>
    <t>Aruba</t>
  </si>
  <si>
    <t>Commercial invoice</t>
  </si>
  <si>
    <t>01133</t>
  </si>
  <si>
    <t>Permit to re-export goods</t>
  </si>
  <si>
    <t>FOB</t>
  </si>
  <si>
    <t>Free on Board</t>
  </si>
  <si>
    <t>42</t>
  </si>
  <si>
    <t>Goods Arrived / Shipped for Processing and Not Expected to Return to the First Country of Origin (Without Ownership of Goods and Contracted)</t>
  </si>
  <si>
    <t>F16</t>
  </si>
  <si>
    <t>BURSA FREE ZONE</t>
  </si>
  <si>
    <t>DTNS</t>
  </si>
  <si>
    <t>Hectokilogram of sugar with a yield in white sugar of 92%</t>
  </si>
  <si>
    <t>N730</t>
  </si>
  <si>
    <t>Road consignment note</t>
  </si>
  <si>
    <t>Y054</t>
  </si>
  <si>
    <t>Goods labelled according to the provisions of Article 12, paragraph 1 of Regulation (EU) No 517/2014</t>
  </si>
  <si>
    <t>4F</t>
  </si>
  <si>
    <t>Box, reconstituted wood</t>
  </si>
  <si>
    <t>BZD</t>
  </si>
  <si>
    <t>Belize Dollar</t>
  </si>
  <si>
    <t>NZZZ</t>
  </si>
  <si>
    <t>Document equivalent to ‘ZZZ’ defined in Commission Delegated Regulation (EU) 2016/341 (Appendix D2: Additional codes for the computerised transit system)</t>
  </si>
  <si>
    <t>AX</t>
  </si>
  <si>
    <t>Åland Islands</t>
  </si>
  <si>
    <t>01321</t>
  </si>
  <si>
    <t xml:space="preserve">Permit to import and / or export of hazardous waste </t>
  </si>
  <si>
    <t>XXX</t>
  </si>
  <si>
    <t>Other</t>
  </si>
  <si>
    <t>51</t>
  </si>
  <si>
    <t>Goods Arrived / Shipped After Processing and Returned to the First Country of Export (Without Ownership of Goods and Contracted)</t>
  </si>
  <si>
    <t>F17</t>
  </si>
  <si>
    <t>ADANA YUMURTALIK FREE ZONE</t>
  </si>
  <si>
    <t>DTNZ</t>
  </si>
  <si>
    <t>Hectokilogram per 1% by weight of sucrose</t>
  </si>
  <si>
    <t>N722</t>
  </si>
  <si>
    <t>Road list - SMGS</t>
  </si>
  <si>
    <t>Y926</t>
  </si>
  <si>
    <t>Goods not concerned by import prohibition on fluorinated greenhouse gases</t>
  </si>
  <si>
    <t>4G</t>
  </si>
  <si>
    <t>Box, fibreboard</t>
  </si>
  <si>
    <t>XOF</t>
  </si>
  <si>
    <t>Benin, CFA Franc BCEAO</t>
  </si>
  <si>
    <t>N941</t>
  </si>
  <si>
    <t>Embargo permit</t>
  </si>
  <si>
    <t>AZ</t>
  </si>
  <si>
    <t>Azerbaijan</t>
  </si>
  <si>
    <t>01332</t>
  </si>
  <si>
    <t>Permit to export a specific consignment of narcotic drugs</t>
  </si>
  <si>
    <t>52</t>
  </si>
  <si>
    <t>Goods Arrived / Shipped After Processing and Returned to a Country Other than the First Issued Country</t>
  </si>
  <si>
    <t>F18</t>
  </si>
  <si>
    <t>TÜBİTAK MAM TEKNOLOJİ FREE ZONE</t>
  </si>
  <si>
    <t>EUR</t>
  </si>
  <si>
    <t>Euro (used for statistical surveillance)</t>
  </si>
  <si>
    <t>N952</t>
  </si>
  <si>
    <t>TIR Carnet</t>
  </si>
  <si>
    <t>Y053</t>
  </si>
  <si>
    <t>Goods not concerned by labelling requirements on fluorinated greenhouse gases as referred to Article 12, paragraph 1 of Regulation (EU) No 517/2014</t>
  </si>
  <si>
    <t>4H</t>
  </si>
  <si>
    <t>Box, plastic</t>
  </si>
  <si>
    <t>BMD</t>
  </si>
  <si>
    <t>Bermudian Dollar</t>
  </si>
  <si>
    <t>Y986</t>
  </si>
  <si>
    <t>Exemption from import prohibition according to articles 11.1 and 11.2 of Regulation (EU) No 517/2014</t>
  </si>
  <si>
    <t>BA</t>
  </si>
  <si>
    <t>Bosnia and Herzegovina</t>
  </si>
  <si>
    <t>01341</t>
  </si>
  <si>
    <t>Permit to import / export of ozone-depleting substances and</t>
  </si>
  <si>
    <t>60</t>
  </si>
  <si>
    <t>Goods Received / Sent for Maintenance and Repair in return for Payment</t>
  </si>
  <si>
    <t>F19</t>
  </si>
  <si>
    <t>KOCAELİ FREE ZONE</t>
  </si>
  <si>
    <t>GFI</t>
  </si>
  <si>
    <t>Gram of fissile isotopes</t>
  </si>
  <si>
    <t>Y929</t>
  </si>
  <si>
    <t>Goods not concerned by Regulation (EC) No 834/2007 (organic products)</t>
  </si>
  <si>
    <t>5H</t>
  </si>
  <si>
    <t>Bag, woven plastic</t>
  </si>
  <si>
    <t>BYR</t>
  </si>
  <si>
    <t>Belarussian Ruble</t>
  </si>
  <si>
    <t>N821</t>
  </si>
  <si>
    <t>External Community transit declaration / common transit, T1</t>
  </si>
  <si>
    <t>BB</t>
  </si>
  <si>
    <t>Barbados</t>
  </si>
  <si>
    <t>01999</t>
  </si>
  <si>
    <t>Other permits</t>
  </si>
  <si>
    <t>61</t>
  </si>
  <si>
    <t>Return of goods received / sent after maintenance and repair against payment</t>
  </si>
  <si>
    <t>F20</t>
  </si>
  <si>
    <t>DENİZLİ FREE ZONE</t>
  </si>
  <si>
    <t>GRM</t>
  </si>
  <si>
    <t>Gram</t>
  </si>
  <si>
    <t>Y924</t>
  </si>
  <si>
    <t>Goods not concerned by Regulation (EU) 2017/852</t>
  </si>
  <si>
    <t>5L</t>
  </si>
  <si>
    <t>Bag, textile</t>
  </si>
  <si>
    <t>BTN</t>
  </si>
  <si>
    <t>Bhutan Ngultrum</t>
  </si>
  <si>
    <t>BD</t>
  </si>
  <si>
    <t>Bangladesh</t>
  </si>
  <si>
    <t>02011</t>
  </si>
  <si>
    <t>62</t>
  </si>
  <si>
    <t>Incoming / Sent Items to See Maintenance without a Payment</t>
  </si>
  <si>
    <t>S11</t>
  </si>
  <si>
    <t>ESENDERE BORDER TRADE CENTER</t>
  </si>
  <si>
    <t>GRT</t>
  </si>
  <si>
    <t>Gross tonnage</t>
  </si>
  <si>
    <t>Y057</t>
  </si>
  <si>
    <t>Goods not requiring the presentation of a FLEGT import licence for timber</t>
  </si>
  <si>
    <t>5M</t>
  </si>
  <si>
    <t>Bag, paper</t>
  </si>
  <si>
    <t>AED</t>
  </si>
  <si>
    <t>United Arab Emirates Dirham</t>
  </si>
  <si>
    <t>C690</t>
  </si>
  <si>
    <t>FLEGT wood import license</t>
  </si>
  <si>
    <t>BE</t>
  </si>
  <si>
    <t>Belgian</t>
  </si>
  <si>
    <t>Road list SMGS</t>
  </si>
  <si>
    <t>02012</t>
  </si>
  <si>
    <t>Transport document - river mode  / waybill</t>
  </si>
  <si>
    <t>63</t>
  </si>
  <si>
    <t>Return of Goods Arrived / Sent After Maintenance and Repair without a Payment</t>
  </si>
  <si>
    <t>S12</t>
  </si>
  <si>
    <t>KAPIKÖY BORDER TRADE CENTER</t>
  </si>
  <si>
    <t>HLT</t>
  </si>
  <si>
    <t>Hectolitre</t>
  </si>
  <si>
    <t>Y950</t>
  </si>
  <si>
    <t>Goods other than pre-charged equipment with hydrofluorocarbons</t>
  </si>
  <si>
    <t>6H</t>
  </si>
  <si>
    <t>Composite packaging, plastic receptacle</t>
  </si>
  <si>
    <t>BOB</t>
  </si>
  <si>
    <t>Bolivian Boliviano</t>
  </si>
  <si>
    <t>Y955</t>
  </si>
  <si>
    <t>Goods other than those falling under the import prohibitions defined in article 7.2 of Regulation (EU) No 517/2014</t>
  </si>
  <si>
    <t>BF</t>
  </si>
  <si>
    <t>Burkina Faso</t>
  </si>
  <si>
    <t>02013</t>
  </si>
  <si>
    <t>SMGS</t>
  </si>
  <si>
    <t>64</t>
  </si>
  <si>
    <t>Temporary Arrival / Sent Goods for Exhibition and Fair</t>
  </si>
  <si>
    <t>S13</t>
  </si>
  <si>
    <t>SARISU BORDER TRADE CENTER</t>
  </si>
  <si>
    <t>HMT</t>
  </si>
  <si>
    <t>Hectometre</t>
  </si>
  <si>
    <t>Y902</t>
  </si>
  <si>
    <t>Goods other than those described in the OZ footnotes linked to the measure</t>
  </si>
  <si>
    <t>6P</t>
  </si>
  <si>
    <t>Composite packaging, glass receptacle</t>
  </si>
  <si>
    <t>BOV</t>
  </si>
  <si>
    <t>Mvdol</t>
  </si>
  <si>
    <t>Y956</t>
  </si>
  <si>
    <t>Goods other than those falling under the reduction of the quantity of hydrofluorocarbons placed on the EU market defined in article 15 of Regulation (EU) No 517/2014</t>
  </si>
  <si>
    <t>BG</t>
  </si>
  <si>
    <t>Bulgarian</t>
  </si>
  <si>
    <t>02014</t>
  </si>
  <si>
    <t>Other documents, rail mode</t>
  </si>
  <si>
    <t>65</t>
  </si>
  <si>
    <t>Return of Goods Arrived / Sent Temporarily for Exhibition and Fair</t>
  </si>
  <si>
    <t>S41</t>
  </si>
  <si>
    <t>DİLUCU BORDER TRADE CENTER</t>
  </si>
  <si>
    <t>KAC</t>
  </si>
  <si>
    <t>Kilogram net of acesulfame potassium</t>
  </si>
  <si>
    <t>Y907</t>
  </si>
  <si>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t>
  </si>
  <si>
    <t>7A</t>
  </si>
  <si>
    <t>Caja para automóvil (case car)</t>
  </si>
  <si>
    <t>BAM</t>
  </si>
  <si>
    <t>Convertible Marks</t>
  </si>
  <si>
    <t>Y976</t>
  </si>
  <si>
    <t>Goods other than those falling under the registration obligation defined in Article 1.2 of Regulation (EU) 1191/2014 as amended by Commission Implementing Regulation (EU) 2017/1375</t>
  </si>
  <si>
    <t>BH</t>
  </si>
  <si>
    <t>Bahrain</t>
  </si>
  <si>
    <t>Master air waybill</t>
  </si>
  <si>
    <t>02016</t>
  </si>
  <si>
    <t>Other transport document, road mode</t>
  </si>
  <si>
    <t>66</t>
  </si>
  <si>
    <t>Temporary Incoming / Sent Goods for Testing, Control and Sample Purposes</t>
  </si>
  <si>
    <t>001</t>
  </si>
  <si>
    <t>FRANCE</t>
  </si>
  <si>
    <t>KCC</t>
  </si>
  <si>
    <t>Kilogram of choline chloride</t>
  </si>
  <si>
    <t>Y029</t>
  </si>
  <si>
    <t>Other authorised economic operator (AEO certificate number)</t>
  </si>
  <si>
    <t>7B</t>
  </si>
  <si>
    <t>Caja (case), de madera</t>
  </si>
  <si>
    <t>BWP</t>
  </si>
  <si>
    <t>Botswana Pula</t>
  </si>
  <si>
    <t>N911</t>
  </si>
  <si>
    <t>Import licence</t>
  </si>
  <si>
    <t>BI</t>
  </si>
  <si>
    <t>Burundi</t>
  </si>
  <si>
    <t>Movement by post including parcel post</t>
  </si>
  <si>
    <t>02017</t>
  </si>
  <si>
    <t>67</t>
  </si>
  <si>
    <t>Return of Transient Incoming / Outgoing Goods for Testing, Inspection, Sampling</t>
  </si>
  <si>
    <t>003</t>
  </si>
  <si>
    <t>NETHERLANDS</t>
  </si>
  <si>
    <t>KCL</t>
  </si>
  <si>
    <t>Tonne of potassium chloride</t>
  </si>
  <si>
    <t>Y032</t>
  </si>
  <si>
    <t>Other goods than those seal products mentioned in Regulation (EU) 2015/1850 (OJ L 271)</t>
  </si>
  <si>
    <t>8A</t>
  </si>
  <si>
    <t>Paleta de madera</t>
  </si>
  <si>
    <t>BRL</t>
  </si>
  <si>
    <t>Brazilian Real</t>
  </si>
  <si>
    <t>N822</t>
  </si>
  <si>
    <t>Internal Community transit declaration T2</t>
  </si>
  <si>
    <t>BJ</t>
  </si>
  <si>
    <t>Benin</t>
  </si>
  <si>
    <t>Multimodal/combined transport document</t>
  </si>
  <si>
    <t>02018</t>
  </si>
  <si>
    <t>Transport documents, pipeline transport</t>
  </si>
  <si>
    <t>70</t>
  </si>
  <si>
    <t>Processes on Joint Defense Projects and Intergovernmental Production Programs</t>
  </si>
  <si>
    <t>004</t>
  </si>
  <si>
    <t>GERMANY</t>
  </si>
  <si>
    <t>KGM</t>
  </si>
  <si>
    <t>Kilogram</t>
  </si>
  <si>
    <t>Y922</t>
  </si>
  <si>
    <t>Other than cats and dogs fur as mentioned by Regulation (EC) No 1523/2007 (OJ L 343)</t>
  </si>
  <si>
    <t>8B</t>
  </si>
  <si>
    <t>Cajón de madera</t>
  </si>
  <si>
    <t>BND</t>
  </si>
  <si>
    <t>Brunei Dollar</t>
  </si>
  <si>
    <t>L116</t>
  </si>
  <si>
    <t>Kimberley Process Certificate</t>
  </si>
  <si>
    <t>BL</t>
  </si>
  <si>
    <t>Saint Barthélemy</t>
  </si>
  <si>
    <t>02025</t>
  </si>
  <si>
    <t>80</t>
  </si>
  <si>
    <t>No Separate Billing of Goods; Scope of a General Construction or Engineering Contract Covering the Procurement of Construction Material and Technical Equipment for a Single Invoice for the Entire Contract</t>
  </si>
  <si>
    <t>005</t>
  </si>
  <si>
    <t>ITALY</t>
  </si>
  <si>
    <t>KGMA</t>
  </si>
  <si>
    <t>Kilogram total alcohol</t>
  </si>
  <si>
    <t>Y026</t>
  </si>
  <si>
    <t>Principal (AEO certificate number)</t>
  </si>
  <si>
    <t>8C</t>
  </si>
  <si>
    <t>Haz de leña</t>
  </si>
  <si>
    <t>BGN</t>
  </si>
  <si>
    <t>Bulgarian Lev</t>
  </si>
  <si>
    <t>L100</t>
  </si>
  <si>
    <t>Import licence "controlled substances" (ozone), issued by the Commission</t>
  </si>
  <si>
    <t>BM</t>
  </si>
  <si>
    <t>Bermuda</t>
  </si>
  <si>
    <t>02099</t>
  </si>
  <si>
    <t>Other transport documents</t>
  </si>
  <si>
    <t>91</t>
  </si>
  <si>
    <t>Other Commercial Transactions - Leasing, Borrowing and Operational Leasing for More Than 24 Months</t>
  </si>
  <si>
    <t>006</t>
  </si>
  <si>
    <t>UNITED KINGDOM</t>
  </si>
  <si>
    <t>KGME</t>
  </si>
  <si>
    <t>Kilogram of drained net weight</t>
  </si>
  <si>
    <t>Y901</t>
  </si>
  <si>
    <t>Product not included in the dual use list</t>
  </si>
  <si>
    <t>AA</t>
  </si>
  <si>
    <t>Intermediate bulk container, rigid plastic</t>
  </si>
  <si>
    <t>Burkino Faso, CFA Franc BCEAO</t>
  </si>
  <si>
    <t>N954</t>
  </si>
  <si>
    <t>Movement certificate EUR.1</t>
  </si>
  <si>
    <t>BN</t>
  </si>
  <si>
    <t>Brunei Darussalam</t>
  </si>
  <si>
    <t>N820</t>
  </si>
  <si>
    <t>Transit declaration "T"</t>
  </si>
  <si>
    <t>03011</t>
  </si>
  <si>
    <t>Contract</t>
  </si>
  <si>
    <t>99</t>
  </si>
  <si>
    <t>Other Commercial Transactions</t>
  </si>
  <si>
    <t>007</t>
  </si>
  <si>
    <t>IRELAND</t>
  </si>
  <si>
    <t>KGMG</t>
  </si>
  <si>
    <t>Kilogram , gross</t>
  </si>
  <si>
    <t>Y118</t>
  </si>
  <si>
    <t>Product not in conformity — release for free circulation not authorised — Regulation (EU) 2019/1020, Art. 28(2)</t>
  </si>
  <si>
    <t>AB</t>
  </si>
  <si>
    <t>Receptacle, fibre</t>
  </si>
  <si>
    <t>BIF</t>
  </si>
  <si>
    <t>Burundi Franc</t>
  </si>
  <si>
    <t>N002</t>
  </si>
  <si>
    <t>Certificate of conformity with the European Union marketing standards for fresh fruit and vegetables</t>
  </si>
  <si>
    <t>BO</t>
  </si>
  <si>
    <t>Bolivia</t>
  </si>
  <si>
    <t>03012</t>
  </si>
  <si>
    <t>Addendum to the contract, code 03011</t>
  </si>
  <si>
    <t>008</t>
  </si>
  <si>
    <t>DENMARK</t>
  </si>
  <si>
    <t>KGMP</t>
  </si>
  <si>
    <t>Kilogram of lactic matter</t>
  </si>
  <si>
    <t>Y923</t>
  </si>
  <si>
    <t>Product not subjected to the provisions of Regulation (EC) No 1013/2006 (OJ L 190)</t>
  </si>
  <si>
    <t>AC</t>
  </si>
  <si>
    <t>Receptacle, paper</t>
  </si>
  <si>
    <t>GIP</t>
  </si>
  <si>
    <t>Gibraltar Pound</t>
  </si>
  <si>
    <t>BQ</t>
  </si>
  <si>
    <t>Bonaire, Sint Eustatius and Saba</t>
  </si>
  <si>
    <t>04031</t>
  </si>
  <si>
    <t>Invoice for transport, loading, unloading, reloading</t>
  </si>
  <si>
    <t>009</t>
  </si>
  <si>
    <t>GREECE</t>
  </si>
  <si>
    <t>KGMS</t>
  </si>
  <si>
    <t>Kilogram of sugar with a yield in white sugar of 92%</t>
  </si>
  <si>
    <t>Y934</t>
  </si>
  <si>
    <t>Product not subjected to the provisions of Regulation (EU) No 258/2012 for export of firearms, their parts and components and ammunition</t>
  </si>
  <si>
    <t>Receptacle, wooden</t>
  </si>
  <si>
    <t>DZD</t>
  </si>
  <si>
    <t>Algerian Dinar</t>
  </si>
  <si>
    <t>N851</t>
  </si>
  <si>
    <t>BR</t>
  </si>
  <si>
    <t>Brazil</t>
  </si>
  <si>
    <t>N825</t>
  </si>
  <si>
    <t>T2L document</t>
  </si>
  <si>
    <t>04081</t>
  </si>
  <si>
    <t>Invoice cost of packing materials</t>
  </si>
  <si>
    <t>010</t>
  </si>
  <si>
    <t>PORTUGAL</t>
  </si>
  <si>
    <t>KGMT</t>
  </si>
  <si>
    <t>Kilogram of dry lactic matter</t>
  </si>
  <si>
    <t>Y916</t>
  </si>
  <si>
    <t>Product not subjected to the provisions of Regulation (EU) No 649/2012 on the export and import of dangerous chemicals, Annex I</t>
  </si>
  <si>
    <t>Aerosol</t>
  </si>
  <si>
    <t>DJF</t>
  </si>
  <si>
    <t>Djibouti Franc</t>
  </si>
  <si>
    <t>N864</t>
  </si>
  <si>
    <t>Preference certificate of origin</t>
  </si>
  <si>
    <t>BS</t>
  </si>
  <si>
    <t>Bahamas</t>
  </si>
  <si>
    <t>N830</t>
  </si>
  <si>
    <t>Goods declaration for exportation</t>
  </si>
  <si>
    <t>04131</t>
  </si>
  <si>
    <t>011</t>
  </si>
  <si>
    <t>SPAIN</t>
  </si>
  <si>
    <t>KLT</t>
  </si>
  <si>
    <t>1000 litres</t>
  </si>
  <si>
    <t>Y917</t>
  </si>
  <si>
    <t>Product not subjected to the provisions of Regulation (EU) No 649/2012 on the export and import of dangerous chemicals, Annex V</t>
  </si>
  <si>
    <t>Pallet, modular, collars 80 cm × 60 cm</t>
  </si>
  <si>
    <t>XAF</t>
  </si>
  <si>
    <t>Chad, CFA Franc BEAC</t>
  </si>
  <si>
    <t>Proforma Invoice</t>
  </si>
  <si>
    <t>BT</t>
  </si>
  <si>
    <t>Bhutan</t>
  </si>
  <si>
    <t>04999</t>
  </si>
  <si>
    <t>Other documents and information</t>
  </si>
  <si>
    <t>017</t>
  </si>
  <si>
    <t>BELGIUM</t>
  </si>
  <si>
    <t>KMA</t>
  </si>
  <si>
    <t>Kilogram of methylamines</t>
  </si>
  <si>
    <t>Y062</t>
  </si>
  <si>
    <t>Products which are not containing, consisting of or produced from rice (Commission Implementing Decision 2011/884/EU)</t>
  </si>
  <si>
    <t>Pallet, shrink-wrapped</t>
  </si>
  <si>
    <t>CZK</t>
  </si>
  <si>
    <t>Czech Koruna</t>
  </si>
  <si>
    <t>BV</t>
  </si>
  <si>
    <t>Bouvet Island</t>
  </si>
  <si>
    <t>06011</t>
  </si>
  <si>
    <t>Certificate of origin CT+1</t>
  </si>
  <si>
    <t>018</t>
  </si>
  <si>
    <t>LUXEMBURG</t>
  </si>
  <si>
    <t>KMT</t>
  </si>
  <si>
    <t>Kilometre</t>
  </si>
  <si>
    <t>Y066</t>
  </si>
  <si>
    <t>Products which are not containing or consisting of betel leaves (‘Piper betle’)</t>
  </si>
  <si>
    <t>AH</t>
  </si>
  <si>
    <t>Pallet, 100 cm × 110 cm</t>
  </si>
  <si>
    <t>CNY</t>
  </si>
  <si>
    <t>Chinese Yuan Renminbi</t>
  </si>
  <si>
    <t>L079</t>
  </si>
  <si>
    <t>Textile products: import certificate</t>
  </si>
  <si>
    <t>BW</t>
  </si>
  <si>
    <t>Botswana</t>
  </si>
  <si>
    <t>NCLE</t>
  </si>
  <si>
    <t>Reference/date of entry in the declarant's records</t>
  </si>
  <si>
    <t>06013</t>
  </si>
  <si>
    <t>Certificate of origin A form</t>
  </si>
  <si>
    <t>024</t>
  </si>
  <si>
    <t>ICELAND</t>
  </si>
  <si>
    <t>KNI</t>
  </si>
  <si>
    <t>Kilogram of nitrogen</t>
  </si>
  <si>
    <t>Y919</t>
  </si>
  <si>
    <t>Reference Identification Number for chemicals subject to the provisions of Art. 2(3) of Regulation (EU) No 649/2012</t>
  </si>
  <si>
    <t>Clamshell</t>
  </si>
  <si>
    <t>DKK</t>
  </si>
  <si>
    <t>Danish Krone</t>
  </si>
  <si>
    <t>N951</t>
  </si>
  <si>
    <t>TIF form</t>
  </si>
  <si>
    <t>BY</t>
  </si>
  <si>
    <t>Belarusian</t>
  </si>
  <si>
    <t>NMNS</t>
  </si>
  <si>
    <t>Cargo manifest — simplified procedure</t>
  </si>
  <si>
    <t>06014</t>
  </si>
  <si>
    <t>Non preferential certificate of origin</t>
  </si>
  <si>
    <t>028</t>
  </si>
  <si>
    <t>NORWAY</t>
  </si>
  <si>
    <t>KNS</t>
  </si>
  <si>
    <t>Kilogram of hydrogen peroxide</t>
  </si>
  <si>
    <t>Y025</t>
  </si>
  <si>
    <t>Representative (AEO certificate number)</t>
  </si>
  <si>
    <t>AJ</t>
  </si>
  <si>
    <t>Cone</t>
  </si>
  <si>
    <t>DOP</t>
  </si>
  <si>
    <t>Dominican Peso</t>
  </si>
  <si>
    <t>Y125</t>
  </si>
  <si>
    <t>Undertaking importing less than 100 tonnes of CO2 equivalent of hydrofluorocarbons per year and exempted from the reduction of the quantity of hydrofluorocarbons placed on the EU market according to article 15.2 first sub paragraph of Regulation (EU) No 517/2014</t>
  </si>
  <si>
    <t>BZ</t>
  </si>
  <si>
    <t>Belize</t>
  </si>
  <si>
    <t>NMRN</t>
  </si>
  <si>
    <t>Declaration / notification MRN</t>
  </si>
  <si>
    <t>06015</t>
  </si>
  <si>
    <t>Preliminary decision on the origin of goods</t>
  </si>
  <si>
    <t>030</t>
  </si>
  <si>
    <t>SWEEDEN</t>
  </si>
  <si>
    <t>KPH</t>
  </si>
  <si>
    <t>Kilogram of potassium hydroxide (caustic potash)</t>
  </si>
  <si>
    <t>Y100</t>
  </si>
  <si>
    <t>Special entries on the import licence AGRIM</t>
  </si>
  <si>
    <t>Paleta modular, anillos de 80 x 60 cm</t>
  </si>
  <si>
    <t>Y120</t>
  </si>
  <si>
    <t>CA</t>
  </si>
  <si>
    <t>Canada</t>
  </si>
  <si>
    <t>06016</t>
  </si>
  <si>
    <t>Declaration of origin of the goods</t>
  </si>
  <si>
    <t>032</t>
  </si>
  <si>
    <t>FINLAND</t>
  </si>
  <si>
    <t>KPO</t>
  </si>
  <si>
    <t>Kilogram of potassium oxide</t>
  </si>
  <si>
    <t>Y930</t>
  </si>
  <si>
    <t>The declared goods are not concerned by Commission Decision 2007/275/EC and Commission Implementing Regulation (EU) 2019/2007</t>
  </si>
  <si>
    <t>Ampoule, non-protected</t>
  </si>
  <si>
    <t>Equatorial Guinea, CFA Franc BEAC</t>
  </si>
  <si>
    <t>Y124</t>
  </si>
  <si>
    <t>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t>
  </si>
  <si>
    <t>CC</t>
  </si>
  <si>
    <t>Cocos (Keeling) Is</t>
  </si>
  <si>
    <t>06017</t>
  </si>
  <si>
    <t>Certificate of origin CT-2</t>
  </si>
  <si>
    <t>037</t>
  </si>
  <si>
    <t>LIECHTENSTEIN</t>
  </si>
  <si>
    <t>KPP</t>
  </si>
  <si>
    <t>Kilogram of diphosphorus pentaoxide</t>
  </si>
  <si>
    <t>Y942</t>
  </si>
  <si>
    <t>The declared goods are not concerned by Commission Implementing Regulation (EU) 2016/1141</t>
  </si>
  <si>
    <t>AP</t>
  </si>
  <si>
    <t>Ampoule, protected</t>
  </si>
  <si>
    <t>SVC</t>
  </si>
  <si>
    <t>El Salvador Colon</t>
  </si>
  <si>
    <t>Y123</t>
  </si>
  <si>
    <t>Undertaking registered according to Art. 19 of Regulation (EU) No 517/2014, and Article 1.2 of Commission Implementing Regulation (EU) 1191/2014 as amended by Commission Implementing Regulation (EU) 2017/1375</t>
  </si>
  <si>
    <t>CD</t>
  </si>
  <si>
    <t>Congo Dem Rep</t>
  </si>
  <si>
    <t>06018</t>
  </si>
  <si>
    <t>Certificate of origin EAV</t>
  </si>
  <si>
    <t>038</t>
  </si>
  <si>
    <t>AUSTRIA</t>
  </si>
  <si>
    <t>KSD</t>
  </si>
  <si>
    <t>Kilogram of substance 90% dry</t>
  </si>
  <si>
    <t>Y928</t>
  </si>
  <si>
    <t>The declared goods are not concerned by Commission Implementing Regulation (EU) 2019/1787</t>
  </si>
  <si>
    <t>Atomizer</t>
  </si>
  <si>
    <t>IDR</t>
  </si>
  <si>
    <t>Rupiah</t>
  </si>
  <si>
    <t>N861</t>
  </si>
  <si>
    <t>Universal certificate of origin</t>
  </si>
  <si>
    <t>CF</t>
  </si>
  <si>
    <t>Central African Rep</t>
  </si>
  <si>
    <t>06999</t>
  </si>
  <si>
    <t>Certificate of origin other</t>
  </si>
  <si>
    <t>039</t>
  </si>
  <si>
    <t>SWITZERLAND</t>
  </si>
  <si>
    <t>KSH</t>
  </si>
  <si>
    <t>Kilogram of sodium hydroxide (caustic soda)</t>
  </si>
  <si>
    <t>Y937</t>
  </si>
  <si>
    <t>The declared goods are not concerned by Commission Implementing Regulation (EU) 2019/1793</t>
  </si>
  <si>
    <t>AV</t>
  </si>
  <si>
    <t>Capsule</t>
  </si>
  <si>
    <t>ERN</t>
  </si>
  <si>
    <t xml:space="preserve">Nakfa </t>
  </si>
  <si>
    <t>CG</t>
  </si>
  <si>
    <t>Congo</t>
  </si>
  <si>
    <t>09013</t>
  </si>
  <si>
    <t>Transit declaration</t>
  </si>
  <si>
    <t>041</t>
  </si>
  <si>
    <t>FAROE ISLAND</t>
  </si>
  <si>
    <t>KUR</t>
  </si>
  <si>
    <t>Kilogram of uranium</t>
  </si>
  <si>
    <t>Y940</t>
  </si>
  <si>
    <t>The declared goods are not concerned by Commission Implementing Regulation (EU) No 175/2015</t>
  </si>
  <si>
    <t>B4</t>
  </si>
  <si>
    <t>Correa</t>
  </si>
  <si>
    <t>AMD</t>
  </si>
  <si>
    <t>Armenian Dram</t>
  </si>
  <si>
    <t>CH</t>
  </si>
  <si>
    <t>Swiss</t>
  </si>
  <si>
    <t>09020</t>
  </si>
  <si>
    <t>Graphic materials: photos of goods</t>
  </si>
  <si>
    <t>043</t>
  </si>
  <si>
    <t>ANDORRA</t>
  </si>
  <si>
    <t>LPA</t>
  </si>
  <si>
    <t>Litre pure (100%) alcohol</t>
  </si>
  <si>
    <t>Y927</t>
  </si>
  <si>
    <t>The declared goods are not concerned by Council Regulation (EC) No. 1005/2008</t>
  </si>
  <si>
    <t>Barrel</t>
  </si>
  <si>
    <t>ETB</t>
  </si>
  <si>
    <t>Ethiopian Birr</t>
  </si>
  <si>
    <t>CI</t>
  </si>
  <si>
    <t>Côte d'Ivoire</t>
  </si>
  <si>
    <t>09021</t>
  </si>
  <si>
    <t>Graphic materials: schemes, drawings, drawings of goods</t>
  </si>
  <si>
    <t>044</t>
  </si>
  <si>
    <t>GIBRALTAR</t>
  </si>
  <si>
    <t>LTR</t>
  </si>
  <si>
    <t>Litre</t>
  </si>
  <si>
    <t>Y909</t>
  </si>
  <si>
    <t>The declared goods are not concerned by Regulation (EC) No. 1984/2003 (and/or Reg. (EU) No. 640/2010).</t>
  </si>
  <si>
    <t>Bobbin</t>
  </si>
  <si>
    <t>Euro</t>
  </si>
  <si>
    <t>CK</t>
  </si>
  <si>
    <t>Cook Is</t>
  </si>
  <si>
    <t>09022</t>
  </si>
  <si>
    <t>Graphic materials: technical  documents, catalogs</t>
  </si>
  <si>
    <t>045</t>
  </si>
  <si>
    <t>VATICAN</t>
  </si>
  <si>
    <t>LTRA</t>
  </si>
  <si>
    <t>Litre total alcohol</t>
  </si>
  <si>
    <t>Y015</t>
  </si>
  <si>
    <t>The rough diamonds are contained in tamper-resistant containers, and the seals applied at export by the participant (Kimberley process) are not broken</t>
  </si>
  <si>
    <t>BC</t>
  </si>
  <si>
    <t>Bottle crate, bottle rack</t>
  </si>
  <si>
    <t>FKP</t>
  </si>
  <si>
    <t>Falkland Islands Pound</t>
  </si>
  <si>
    <t>CL</t>
  </si>
  <si>
    <t>Chile</t>
  </si>
  <si>
    <t>09025</t>
  </si>
  <si>
    <t>Information on the completion of the customs transit procedure</t>
  </si>
  <si>
    <t>046</t>
  </si>
  <si>
    <t>MALTA</t>
  </si>
  <si>
    <t>MIL</t>
  </si>
  <si>
    <t>1000 items</t>
  </si>
  <si>
    <t>Y031</t>
  </si>
  <si>
    <t>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t>
  </si>
  <si>
    <t>Board</t>
  </si>
  <si>
    <t>MAD</t>
  </si>
  <si>
    <t>Moroccan Dirham</t>
  </si>
  <si>
    <t>CM</t>
  </si>
  <si>
    <t>Cameroon</t>
  </si>
  <si>
    <t>09028</t>
  </si>
  <si>
    <t>Act of veterinary and sanitary inspection</t>
  </si>
  <si>
    <t>047</t>
  </si>
  <si>
    <t>SAN MARINO</t>
  </si>
  <si>
    <t>MPR</t>
  </si>
  <si>
    <t>1000 pairs (used for statistical surveillance)</t>
  </si>
  <si>
    <t>Y064</t>
  </si>
  <si>
    <t>Timber and timber products originating in or dispatched from a country partner in a FLEGT Voluntary Partnership Agreement (VPA) exported prior to the entry into force of the VPA</t>
  </si>
  <si>
    <t>Bundle</t>
  </si>
  <si>
    <t>FJD</t>
  </si>
  <si>
    <t>Fiji Dollar</t>
  </si>
  <si>
    <t>CN</t>
  </si>
  <si>
    <t>China</t>
  </si>
  <si>
    <t>09029</t>
  </si>
  <si>
    <t>Act of quarantine phytosanitary control</t>
  </si>
  <si>
    <t>052</t>
  </si>
  <si>
    <t>TURKEY</t>
  </si>
  <si>
    <t>MTK</t>
  </si>
  <si>
    <t>Square metre</t>
  </si>
  <si>
    <t>Y027</t>
  </si>
  <si>
    <t>Warehousekeeper (AEO certificate number)</t>
  </si>
  <si>
    <t>Balloon, non-protected</t>
  </si>
  <si>
    <t>Cote D'Ivoire, CFA Franc BCEAO</t>
  </si>
  <si>
    <t>CO</t>
  </si>
  <si>
    <t>Colombia</t>
  </si>
  <si>
    <t>09030</t>
  </si>
  <si>
    <t>Act of sanitary-quarantine inspection</t>
  </si>
  <si>
    <t>053</t>
  </si>
  <si>
    <t>ESTONIA</t>
  </si>
  <si>
    <t>MTQ</t>
  </si>
  <si>
    <t>Cubic metre (m³)</t>
  </si>
  <si>
    <t>Bag</t>
  </si>
  <si>
    <t>PHP</t>
  </si>
  <si>
    <t>Philippine Peso</t>
  </si>
  <si>
    <t>CR</t>
  </si>
  <si>
    <t>Costa Rica</t>
  </si>
  <si>
    <t>09035</t>
  </si>
  <si>
    <t>Declaration for goods except document under code 09031</t>
  </si>
  <si>
    <t>054</t>
  </si>
  <si>
    <t>LETONIA</t>
  </si>
  <si>
    <t>MTQC</t>
  </si>
  <si>
    <t>Cubic metre 1 000</t>
  </si>
  <si>
    <t>Bunch</t>
  </si>
  <si>
    <t>XPF</t>
  </si>
  <si>
    <t>CFP Franc</t>
  </si>
  <si>
    <t>CU</t>
  </si>
  <si>
    <t>Cuba</t>
  </si>
  <si>
    <t>09036</t>
  </si>
  <si>
    <t>Vehicle declaration</t>
  </si>
  <si>
    <t>055</t>
  </si>
  <si>
    <t>LITHUANIA</t>
  </si>
  <si>
    <t>MTR</t>
  </si>
  <si>
    <t>Metre</t>
  </si>
  <si>
    <t>Bin</t>
  </si>
  <si>
    <t>Gabon, CFA Franc BEAC</t>
  </si>
  <si>
    <t>CV</t>
  </si>
  <si>
    <t>Cape Verde</t>
  </si>
  <si>
    <t>09999</t>
  </si>
  <si>
    <t>Other documents</t>
  </si>
  <si>
    <t>060</t>
  </si>
  <si>
    <t>POLAND</t>
  </si>
  <si>
    <t>MWH</t>
  </si>
  <si>
    <t>1000 kilowatt hours</t>
  </si>
  <si>
    <t>Bucket</t>
  </si>
  <si>
    <t>GMD</t>
  </si>
  <si>
    <t>Gambian Dalasi</t>
  </si>
  <si>
    <t>CW</t>
  </si>
  <si>
    <t>Curaçao</t>
  </si>
  <si>
    <t>10060</t>
  </si>
  <si>
    <t>Preliminary information</t>
  </si>
  <si>
    <t>061</t>
  </si>
  <si>
    <t>CZECH REPUBLIC</t>
  </si>
  <si>
    <t>NAR</t>
  </si>
  <si>
    <t>Number of items</t>
  </si>
  <si>
    <t>BK</t>
  </si>
  <si>
    <t>Basket</t>
  </si>
  <si>
    <t>GHS</t>
  </si>
  <si>
    <t>Ghanaian Cedi</t>
  </si>
  <si>
    <t>CX</t>
  </si>
  <si>
    <t>Christmas Island</t>
  </si>
  <si>
    <t>10999</t>
  </si>
  <si>
    <t>Other information</t>
  </si>
  <si>
    <t>063</t>
  </si>
  <si>
    <t>SLOVAKIA</t>
  </si>
  <si>
    <t>NARB</t>
  </si>
  <si>
    <t>Number of items per flask</t>
  </si>
  <si>
    <t>Bale, compressed</t>
  </si>
  <si>
    <t>GNF</t>
  </si>
  <si>
    <t>Guinea Franc</t>
  </si>
  <si>
    <t>CY</t>
  </si>
  <si>
    <t>Cypriot</t>
  </si>
  <si>
    <t>11001</t>
  </si>
  <si>
    <t>Identity document</t>
  </si>
  <si>
    <t>064</t>
  </si>
  <si>
    <t>HUNGARY</t>
  </si>
  <si>
    <t>NCL</t>
  </si>
  <si>
    <t>Number of cells</t>
  </si>
  <si>
    <t>Basin</t>
  </si>
  <si>
    <t xml:space="preserve">CFA Frangı BCEAO </t>
  </si>
  <si>
    <t>CZ</t>
  </si>
  <si>
    <t>Czech</t>
  </si>
  <si>
    <t>11002</t>
  </si>
  <si>
    <t>Agreement between the declarant and the customs representative</t>
  </si>
  <si>
    <t>066</t>
  </si>
  <si>
    <t>ROMANIA</t>
  </si>
  <si>
    <t>NPR</t>
  </si>
  <si>
    <t>Number of pairs</t>
  </si>
  <si>
    <t>Bale, non-compressed</t>
  </si>
  <si>
    <t>East Caribbean Dollar</t>
  </si>
  <si>
    <t>DE</t>
  </si>
  <si>
    <t>German</t>
  </si>
  <si>
    <t>11003</t>
  </si>
  <si>
    <t>Authorization</t>
  </si>
  <si>
    <t>068</t>
  </si>
  <si>
    <t>BULGARIA</t>
  </si>
  <si>
    <t>TJO</t>
  </si>
  <si>
    <t>Terajoule (gross calorific value)</t>
  </si>
  <si>
    <t>Bottle, non-protected, cylindrical</t>
  </si>
  <si>
    <t>GTQ</t>
  </si>
  <si>
    <t>Guatemalan Quetzal</t>
  </si>
  <si>
    <t>DJ</t>
  </si>
  <si>
    <t>Djibouti</t>
  </si>
  <si>
    <t>Information on the inclusion of notifications in a single registry</t>
  </si>
  <si>
    <t>070</t>
  </si>
  <si>
    <t>ALBANIA</t>
  </si>
  <si>
    <t>TNE</t>
  </si>
  <si>
    <t>Tonne</t>
  </si>
  <si>
    <t>BP</t>
  </si>
  <si>
    <t>Balloon, protected</t>
  </si>
  <si>
    <t>GYD</t>
  </si>
  <si>
    <t>Guyanan Dollar</t>
  </si>
  <si>
    <t>DK</t>
  </si>
  <si>
    <t>Danish</t>
  </si>
  <si>
    <t>01021</t>
  </si>
  <si>
    <t>072</t>
  </si>
  <si>
    <t>UKRAINE</t>
  </si>
  <si>
    <t>TNEE</t>
  </si>
  <si>
    <t>Tonne of drained net weight</t>
  </si>
  <si>
    <t>Bottle, protected, cylindrical</t>
  </si>
  <si>
    <t>XAG</t>
  </si>
  <si>
    <t>Silver (oz.)</t>
  </si>
  <si>
    <t>DM</t>
  </si>
  <si>
    <t>Dominica</t>
  </si>
  <si>
    <t>01031</t>
  </si>
  <si>
    <t>073</t>
  </si>
  <si>
    <t>BELARUS</t>
  </si>
  <si>
    <t>TNEI</t>
  </si>
  <si>
    <t>Tonne of biodiesel content</t>
  </si>
  <si>
    <t>Bar</t>
  </si>
  <si>
    <t>ZAR</t>
  </si>
  <si>
    <t>South African Rand</t>
  </si>
  <si>
    <t>DO</t>
  </si>
  <si>
    <t>Dominican Republic</t>
  </si>
  <si>
    <t>01041</t>
  </si>
  <si>
    <t>074</t>
  </si>
  <si>
    <t>MOLDOVA</t>
  </si>
  <si>
    <t>TNEJ</t>
  </si>
  <si>
    <t>Tonne of fuel content (usually in form of tallow, stearin, paraffin wax or other waxes, including the wick)</t>
  </si>
  <si>
    <t>Bottle, non-protected, bulbous</t>
  </si>
  <si>
    <t>SSP</t>
  </si>
  <si>
    <t>South Sudanese Pound </t>
  </si>
  <si>
    <t>DZ</t>
  </si>
  <si>
    <t>Algeria</t>
  </si>
  <si>
    <t>01071</t>
  </si>
  <si>
    <t>075</t>
  </si>
  <si>
    <t>RUSSIA</t>
  </si>
  <si>
    <t>TNEK</t>
  </si>
  <si>
    <t>Tonne of bioethanol content</t>
  </si>
  <si>
    <t>bolt</t>
  </si>
  <si>
    <t>GEL</t>
  </si>
  <si>
    <t>Lari</t>
  </si>
  <si>
    <t>EC</t>
  </si>
  <si>
    <t>Ecuador</t>
  </si>
  <si>
    <t>01091</t>
  </si>
  <si>
    <t>076</t>
  </si>
  <si>
    <t>GEORGIA</t>
  </si>
  <si>
    <t>TNEM</t>
  </si>
  <si>
    <t>Tonne net of dry matter</t>
  </si>
  <si>
    <t>BU</t>
  </si>
  <si>
    <t>Butt</t>
  </si>
  <si>
    <t>HTG</t>
  </si>
  <si>
    <t>Haitian Gourde</t>
  </si>
  <si>
    <t>EE</t>
  </si>
  <si>
    <t>Estonian</t>
  </si>
  <si>
    <t>01095</t>
  </si>
  <si>
    <t>077</t>
  </si>
  <si>
    <t>ARMENIA</t>
  </si>
  <si>
    <t>TNER</t>
  </si>
  <si>
    <t>Tonne of the standard quality</t>
  </si>
  <si>
    <t>Bottle, protected, bulbous</t>
  </si>
  <si>
    <t>HRK</t>
  </si>
  <si>
    <t>Croatian Kuna</t>
  </si>
  <si>
    <t>EG</t>
  </si>
  <si>
    <t>Egypt</t>
  </si>
  <si>
    <t>01101</t>
  </si>
  <si>
    <t>078</t>
  </si>
  <si>
    <t>AZERBAIJAN</t>
  </si>
  <si>
    <t>TNEZ</t>
  </si>
  <si>
    <t>Tonne per 1% by weight of sucrose</t>
  </si>
  <si>
    <t>Box, for liquids</t>
  </si>
  <si>
    <t>INR</t>
  </si>
  <si>
    <t>Indian Rupee</t>
  </si>
  <si>
    <t>EH</t>
  </si>
  <si>
    <t>Western Sahara</t>
  </si>
  <si>
    <t>01111</t>
  </si>
  <si>
    <t>079</t>
  </si>
  <si>
    <t>KAZAKHSTAN</t>
  </si>
  <si>
    <t>WAT</t>
  </si>
  <si>
    <t>Number of Watt</t>
  </si>
  <si>
    <t>BX</t>
  </si>
  <si>
    <t>Box</t>
  </si>
  <si>
    <t>ANG</t>
  </si>
  <si>
    <t>Netherlands Antillian Guilder</t>
  </si>
  <si>
    <t>ER</t>
  </si>
  <si>
    <t>Eritrea</t>
  </si>
  <si>
    <t>01121</t>
  </si>
  <si>
    <t>080</t>
  </si>
  <si>
    <t>TURKMENISTAN</t>
  </si>
  <si>
    <t>Boards, in bundle/bunch/truss</t>
  </si>
  <si>
    <t>HNL</t>
  </si>
  <si>
    <t>Honduran Lempira</t>
  </si>
  <si>
    <t>ES</t>
  </si>
  <si>
    <t>Spanish</t>
  </si>
  <si>
    <t>01125</t>
  </si>
  <si>
    <t>081</t>
  </si>
  <si>
    <t>UZBEKISTAN</t>
  </si>
  <si>
    <t>Bars, in bundle/bunch/truss</t>
  </si>
  <si>
    <t>HKD</t>
  </si>
  <si>
    <t>Hong Kong Dollar</t>
  </si>
  <si>
    <t>Ethiopia</t>
  </si>
  <si>
    <t>01131</t>
  </si>
  <si>
    <t>082</t>
  </si>
  <si>
    <t>TAJİKİSTAN</t>
  </si>
  <si>
    <t>Can, rectangular</t>
  </si>
  <si>
    <t>IQD</t>
  </si>
  <si>
    <t>Iraqi Dinar</t>
  </si>
  <si>
    <t>EU</t>
  </si>
  <si>
    <t>European Union</t>
  </si>
  <si>
    <t>01143</t>
  </si>
  <si>
    <t>083</t>
  </si>
  <si>
    <t>KYRGYZSTAN</t>
  </si>
  <si>
    <t>CB</t>
  </si>
  <si>
    <t>Beer crate</t>
  </si>
  <si>
    <t>GBP</t>
  </si>
  <si>
    <t>Pound Sterling</t>
  </si>
  <si>
    <t>FI</t>
  </si>
  <si>
    <t>Finnish</t>
  </si>
  <si>
    <t>01151</t>
  </si>
  <si>
    <t>087</t>
  </si>
  <si>
    <t>YAKUTISTAN</t>
  </si>
  <si>
    <t>Churn</t>
  </si>
  <si>
    <t>IRR</t>
  </si>
  <si>
    <t>Iranian Rial</t>
  </si>
  <si>
    <t>FJ</t>
  </si>
  <si>
    <t>Fiji</t>
  </si>
  <si>
    <t>01152</t>
  </si>
  <si>
    <t>091</t>
  </si>
  <si>
    <t>SLOVENIA</t>
  </si>
  <si>
    <t>Can, with handle and spout</t>
  </si>
  <si>
    <t>ILS</t>
  </si>
  <si>
    <t>Israeli New Shekel</t>
  </si>
  <si>
    <t>FK</t>
  </si>
  <si>
    <t>Falkland Islands (Malvinas)</t>
  </si>
  <si>
    <t>01153</t>
  </si>
  <si>
    <t>092</t>
  </si>
  <si>
    <t>CROATIA</t>
  </si>
  <si>
    <t>CE</t>
  </si>
  <si>
    <t>Creel</t>
  </si>
  <si>
    <t>SEK</t>
  </si>
  <si>
    <t>Swedish Krona</t>
  </si>
  <si>
    <t>FM</t>
  </si>
  <si>
    <t>Micronesia</t>
  </si>
  <si>
    <t>01154</t>
  </si>
  <si>
    <t>093</t>
  </si>
  <si>
    <t>BOSNIA AND HERZEGOVINA</t>
  </si>
  <si>
    <t>Coffer</t>
  </si>
  <si>
    <t>CHF</t>
  </si>
  <si>
    <t>Swiss Franc</t>
  </si>
  <si>
    <t>FO</t>
  </si>
  <si>
    <t>Faroe Is</t>
  </si>
  <si>
    <t>01161</t>
  </si>
  <si>
    <t>095</t>
  </si>
  <si>
    <t>KOSOVO</t>
  </si>
  <si>
    <t>Cage</t>
  </si>
  <si>
    <t>ISK</t>
  </si>
  <si>
    <t>Iceland Krona</t>
  </si>
  <si>
    <t>FR</t>
  </si>
  <si>
    <t>French</t>
  </si>
  <si>
    <t>01162</t>
  </si>
  <si>
    <t>096</t>
  </si>
  <si>
    <t xml:space="preserve">MACEDONIA </t>
  </si>
  <si>
    <t>Chest</t>
  </si>
  <si>
    <t>JMD</t>
  </si>
  <si>
    <t>Jamaican Dollar</t>
  </si>
  <si>
    <t>GA</t>
  </si>
  <si>
    <t>Gabon</t>
  </si>
  <si>
    <t>01163</t>
  </si>
  <si>
    <t>097</t>
  </si>
  <si>
    <t>MONTENEGRO</t>
  </si>
  <si>
    <t>Canister</t>
  </si>
  <si>
    <t>JPY</t>
  </si>
  <si>
    <t>Japanese Yen</t>
  </si>
  <si>
    <t>GB</t>
  </si>
  <si>
    <t>British</t>
  </si>
  <si>
    <t>01171</t>
  </si>
  <si>
    <t>098</t>
  </si>
  <si>
    <t>SERBIS</t>
  </si>
  <si>
    <t>CJ</t>
  </si>
  <si>
    <t>Coffin</t>
  </si>
  <si>
    <t>KHR</t>
  </si>
  <si>
    <t>Kampuchean (Cambodian) Riel</t>
  </si>
  <si>
    <t>GD</t>
  </si>
  <si>
    <t>Grenada</t>
  </si>
  <si>
    <t>01181</t>
  </si>
  <si>
    <t>204</t>
  </si>
  <si>
    <t>MOROCCO</t>
  </si>
  <si>
    <t>Cask</t>
  </si>
  <si>
    <t>Cameroon, CFA Franc BEAC</t>
  </si>
  <si>
    <t>GE</t>
  </si>
  <si>
    <t>Georgia</t>
  </si>
  <si>
    <t>01191</t>
  </si>
  <si>
    <t>208</t>
  </si>
  <si>
    <t>ALGERIA</t>
  </si>
  <si>
    <t>Coil</t>
  </si>
  <si>
    <t>CAD</t>
  </si>
  <si>
    <t>Canadian Dollar</t>
  </si>
  <si>
    <t>GF</t>
  </si>
  <si>
    <t>French Guiana</t>
  </si>
  <si>
    <t>01194</t>
  </si>
  <si>
    <t>212</t>
  </si>
  <si>
    <t>TUNIS</t>
  </si>
  <si>
    <t>Card</t>
  </si>
  <si>
    <t>QAR</t>
  </si>
  <si>
    <t>Qatari Rial</t>
  </si>
  <si>
    <t>GG</t>
  </si>
  <si>
    <t>Guernsey</t>
  </si>
  <si>
    <t>01202</t>
  </si>
  <si>
    <t>216</t>
  </si>
  <si>
    <t>LIBYA</t>
  </si>
  <si>
    <t>Container, not otherwise specified as transport equipment</t>
  </si>
  <si>
    <t>KYD</t>
  </si>
  <si>
    <t>Cayman Islands Dollar</t>
  </si>
  <si>
    <t>GH</t>
  </si>
  <si>
    <t>Ghana</t>
  </si>
  <si>
    <t>01203</t>
  </si>
  <si>
    <t>220</t>
  </si>
  <si>
    <t>EGYPT</t>
  </si>
  <si>
    <t>Carboy, non-protected</t>
  </si>
  <si>
    <t>KZT</t>
  </si>
  <si>
    <t>Kazakhstan Tenge</t>
  </si>
  <si>
    <t>GI</t>
  </si>
  <si>
    <t>Gibraltar</t>
  </si>
  <si>
    <t>01204</t>
  </si>
  <si>
    <t>224</t>
  </si>
  <si>
    <t>SUDAN</t>
  </si>
  <si>
    <t>CP</t>
  </si>
  <si>
    <t>Carboy, protected</t>
  </si>
  <si>
    <t>KES</t>
  </si>
  <si>
    <t>Kenyan Schilling</t>
  </si>
  <si>
    <t>GL</t>
  </si>
  <si>
    <t>Greenland</t>
  </si>
  <si>
    <t>01205</t>
  </si>
  <si>
    <t>225</t>
  </si>
  <si>
    <t>SOUTH SUDAN</t>
  </si>
  <si>
    <t>CQ</t>
  </si>
  <si>
    <t>Cartridge</t>
  </si>
  <si>
    <t>KGS</t>
  </si>
  <si>
    <t>Som</t>
  </si>
  <si>
    <t>GM</t>
  </si>
  <si>
    <t>Gambia</t>
  </si>
  <si>
    <t>01209</t>
  </si>
  <si>
    <t>228</t>
  </si>
  <si>
    <t>MORITANIA</t>
  </si>
  <si>
    <t>Crate</t>
  </si>
  <si>
    <t>COP</t>
  </si>
  <si>
    <t>Colombian Peso</t>
  </si>
  <si>
    <t>GN</t>
  </si>
  <si>
    <t>Guinea</t>
  </si>
  <si>
    <t>01210</t>
  </si>
  <si>
    <t>232</t>
  </si>
  <si>
    <t>MALI</t>
  </si>
  <si>
    <t>CS</t>
  </si>
  <si>
    <t>Case</t>
  </si>
  <si>
    <t>KMF</t>
  </si>
  <si>
    <t>Comoros Franc</t>
  </si>
  <si>
    <t>GP</t>
  </si>
  <si>
    <t>Guadeloupe</t>
  </si>
  <si>
    <t>01211</t>
  </si>
  <si>
    <t>236</t>
  </si>
  <si>
    <t>BURKINA FASO</t>
  </si>
  <si>
    <t>CT</t>
  </si>
  <si>
    <t>Carton</t>
  </si>
  <si>
    <t>CDF</t>
  </si>
  <si>
    <t xml:space="preserve">Franc Congolais </t>
  </si>
  <si>
    <t>GQ</t>
  </si>
  <si>
    <t>Equatorial Guinea</t>
  </si>
  <si>
    <t>01221</t>
  </si>
  <si>
    <t>240</t>
  </si>
  <si>
    <t>NIGER</t>
  </si>
  <si>
    <t>Cup</t>
  </si>
  <si>
    <t>Congo, CFA Franc BEAC</t>
  </si>
  <si>
    <t>GR</t>
  </si>
  <si>
    <t>Greek</t>
  </si>
  <si>
    <t>01225</t>
  </si>
  <si>
    <t>244</t>
  </si>
  <si>
    <t>CHAD</t>
  </si>
  <si>
    <t>Cover</t>
  </si>
  <si>
    <t>KRW</t>
  </si>
  <si>
    <t>Won</t>
  </si>
  <si>
    <t>GS</t>
  </si>
  <si>
    <t>S Georgia S Sandwich Is</t>
  </si>
  <si>
    <t>01241</t>
  </si>
  <si>
    <t>247</t>
  </si>
  <si>
    <t>CAPE VERDE</t>
  </si>
  <si>
    <t>Cage, roll</t>
  </si>
  <si>
    <t>=CONCATENATE(B94,"-",C94)</t>
  </si>
  <si>
    <t>CRC</t>
  </si>
  <si>
    <t>Costa Rican Colon</t>
  </si>
  <si>
    <t>GT</t>
  </si>
  <si>
    <t>Guatemala</t>
  </si>
  <si>
    <t>01242</t>
  </si>
  <si>
    <t>248</t>
  </si>
  <si>
    <t>SENEGAL</t>
  </si>
  <si>
    <t>Can, cylindrical</t>
  </si>
  <si>
    <t>KWD</t>
  </si>
  <si>
    <t>Kuwaiti Dinar</t>
  </si>
  <si>
    <t>GU</t>
  </si>
  <si>
    <t>Guam</t>
  </si>
  <si>
    <t>01243</t>
  </si>
  <si>
    <t>252</t>
  </si>
  <si>
    <t>GAMBIA</t>
  </si>
  <si>
    <t>Cylinder</t>
  </si>
  <si>
    <t>KPW</t>
  </si>
  <si>
    <t>North Korean Won</t>
  </si>
  <si>
    <t>GW</t>
  </si>
  <si>
    <t>Guinea-Bissau</t>
  </si>
  <si>
    <t>01251</t>
  </si>
  <si>
    <t>257</t>
  </si>
  <si>
    <t>GUINEA - BISSAU</t>
  </si>
  <si>
    <t>Canvas</t>
  </si>
  <si>
    <t>CUC</t>
  </si>
  <si>
    <t>Cuban Peso Convertible </t>
  </si>
  <si>
    <t>GY</t>
  </si>
  <si>
    <t>Guyana</t>
  </si>
  <si>
    <t>01261</t>
  </si>
  <si>
    <t>260</t>
  </si>
  <si>
    <t xml:space="preserve">GUINEA </t>
  </si>
  <si>
    <t>DA</t>
  </si>
  <si>
    <t>Crate, multiple layer, plastic</t>
  </si>
  <si>
    <t>CUP</t>
  </si>
  <si>
    <t>Cuban Peso</t>
  </si>
  <si>
    <t>HK</t>
  </si>
  <si>
    <t>Hong Kong</t>
  </si>
  <si>
    <t>01271</t>
  </si>
  <si>
    <t>264</t>
  </si>
  <si>
    <t>SIERRA LEONE</t>
  </si>
  <si>
    <t>DB</t>
  </si>
  <si>
    <t>Crate, multiple layer, wooden</t>
  </si>
  <si>
    <t>LAK</t>
  </si>
  <si>
    <t>Lao Kip</t>
  </si>
  <si>
    <t>HM</t>
  </si>
  <si>
    <t>Heard Island and McDonald Islands</t>
  </si>
  <si>
    <t>01281</t>
  </si>
  <si>
    <t>268</t>
  </si>
  <si>
    <t>LIBERIA</t>
  </si>
  <si>
    <t>DC</t>
  </si>
  <si>
    <t>Crate, multiple layer, cardboard</t>
  </si>
  <si>
    <t>LSL</t>
  </si>
  <si>
    <t>Lesotho Loti</t>
  </si>
  <si>
    <t>HN</t>
  </si>
  <si>
    <t>Honduras</t>
  </si>
  <si>
    <t>01291</t>
  </si>
  <si>
    <t>272</t>
  </si>
  <si>
    <t xml:space="preserve">Côte d'Ivoire </t>
  </si>
  <si>
    <t>DG</t>
  </si>
  <si>
    <t>Cage, Commonwealth Handling Equipment Pool (CHEP)</t>
  </si>
  <si>
    <t>LVL</t>
  </si>
  <si>
    <t>Latvian Lats</t>
  </si>
  <si>
    <t>HR</t>
  </si>
  <si>
    <t>Croatia</t>
  </si>
  <si>
    <t>01301</t>
  </si>
  <si>
    <t>276</t>
  </si>
  <si>
    <t>GHANA</t>
  </si>
  <si>
    <t>DH</t>
  </si>
  <si>
    <t>Box, Commonwealth Handling Equipment Pool (CHEP), Eurobox</t>
  </si>
  <si>
    <t>LRD</t>
  </si>
  <si>
    <t>Liberian Dollar</t>
  </si>
  <si>
    <t>HT</t>
  </si>
  <si>
    <t>Haiti</t>
  </si>
  <si>
    <t>01311</t>
  </si>
  <si>
    <t>280</t>
  </si>
  <si>
    <t>TOGO</t>
  </si>
  <si>
    <t>DI</t>
  </si>
  <si>
    <t>Drum, iron</t>
  </si>
  <si>
    <t>LYD</t>
  </si>
  <si>
    <t>Libyan Dinar</t>
  </si>
  <si>
    <t>HU</t>
  </si>
  <si>
    <t>Hungarian</t>
  </si>
  <si>
    <t>02019</t>
  </si>
  <si>
    <t>284</t>
  </si>
  <si>
    <t>BENIN</t>
  </si>
  <si>
    <t>Demijohn, non-protected</t>
  </si>
  <si>
    <t>LTL</t>
  </si>
  <si>
    <t>Lithuanian Litus</t>
  </si>
  <si>
    <t>ID</t>
  </si>
  <si>
    <t>Indonesia</t>
  </si>
  <si>
    <t>02020</t>
  </si>
  <si>
    <t>288</t>
  </si>
  <si>
    <t>NIGERIA</t>
  </si>
  <si>
    <t>Crate, bulk, cardboard</t>
  </si>
  <si>
    <t>LBP</t>
  </si>
  <si>
    <t>Lebanese Pound</t>
  </si>
  <si>
    <t>IE</t>
  </si>
  <si>
    <t>Irish</t>
  </si>
  <si>
    <t>02021</t>
  </si>
  <si>
    <t>302</t>
  </si>
  <si>
    <t>CAMEROON</t>
  </si>
  <si>
    <t>DL</t>
  </si>
  <si>
    <t>Crate, bulk, plastic</t>
  </si>
  <si>
    <t>HUF</t>
  </si>
  <si>
    <t>Hungarian Forint</t>
  </si>
  <si>
    <t>IL</t>
  </si>
  <si>
    <t>Israel</t>
  </si>
  <si>
    <t>02022</t>
  </si>
  <si>
    <t>306</t>
  </si>
  <si>
    <t>CENTRAL AFRICAN REPUBLIC</t>
  </si>
  <si>
    <t>Crate, bulk, wooden</t>
  </si>
  <si>
    <t>MGA</t>
  </si>
  <si>
    <t>Malagasy Ariary </t>
  </si>
  <si>
    <t>IM</t>
  </si>
  <si>
    <t>Isle of Man</t>
  </si>
  <si>
    <t>03013</t>
  </si>
  <si>
    <t>310</t>
  </si>
  <si>
    <t>Equatorial Guinea</t>
  </si>
  <si>
    <t>DN</t>
  </si>
  <si>
    <t>Dispenser</t>
  </si>
  <si>
    <t>MOP</t>
  </si>
  <si>
    <t>Macau Pataca</t>
  </si>
  <si>
    <t>IN</t>
  </si>
  <si>
    <t>India</t>
  </si>
  <si>
    <t>03014</t>
  </si>
  <si>
    <t>311</t>
  </si>
  <si>
    <t>SAO TOME AND PRINCIPE</t>
  </si>
  <si>
    <t>DP</t>
  </si>
  <si>
    <t>Demijohn, protected</t>
  </si>
  <si>
    <t>MKD</t>
  </si>
  <si>
    <t>Denar</t>
  </si>
  <si>
    <t>IO</t>
  </si>
  <si>
    <t>British Indian Oc Terr</t>
  </si>
  <si>
    <t>03021</t>
  </si>
  <si>
    <t>314</t>
  </si>
  <si>
    <t>GABON</t>
  </si>
  <si>
    <t>DR</t>
  </si>
  <si>
    <t>Drum</t>
  </si>
  <si>
    <t>MWK</t>
  </si>
  <si>
    <t>Malawi Kwacha</t>
  </si>
  <si>
    <t>IQ</t>
  </si>
  <si>
    <t>Iraq</t>
  </si>
  <si>
    <t>03022</t>
  </si>
  <si>
    <t>318</t>
  </si>
  <si>
    <t>CONGO</t>
  </si>
  <si>
    <t>DS</t>
  </si>
  <si>
    <t>Tray, one layer no cover, plastic</t>
  </si>
  <si>
    <t>MVR</t>
  </si>
  <si>
    <t>Maldive Rufiyaa</t>
  </si>
  <si>
    <t>IR</t>
  </si>
  <si>
    <t>Iran</t>
  </si>
  <si>
    <t>03031</t>
  </si>
  <si>
    <t>322</t>
  </si>
  <si>
    <t>Congo, Democratic Republic of
Formerly Zaire</t>
  </si>
  <si>
    <t>DT</t>
  </si>
  <si>
    <t>Bandeja, de madera, de un nivel, sin tapa</t>
  </si>
  <si>
    <t>MYR</t>
  </si>
  <si>
    <t>Malaysian Ringgit</t>
  </si>
  <si>
    <t>IS</t>
  </si>
  <si>
    <t>Icelandic</t>
  </si>
  <si>
    <t>03998</t>
  </si>
  <si>
    <t>324</t>
  </si>
  <si>
    <t>RUANDA</t>
  </si>
  <si>
    <t>DU</t>
  </si>
  <si>
    <t>Bandeja, de poliestireno, de un nivel, sin tapa</t>
  </si>
  <si>
    <t>Mali, CFA Franc BCEAO</t>
  </si>
  <si>
    <t>IT</t>
  </si>
  <si>
    <t>Italian</t>
  </si>
  <si>
    <t>03999</t>
  </si>
  <si>
    <t>328</t>
  </si>
  <si>
    <t>BURUNDI</t>
  </si>
  <si>
    <t>DV</t>
  </si>
  <si>
    <t>Tray, one layer no cover, cardboard</t>
  </si>
  <si>
    <t>MUR</t>
  </si>
  <si>
    <t>Mauritius Rupee</t>
  </si>
  <si>
    <t>JE</t>
  </si>
  <si>
    <t>Jersey</t>
  </si>
  <si>
    <t>04011</t>
  </si>
  <si>
    <t>329</t>
  </si>
  <si>
    <t>ST HELENA</t>
  </si>
  <si>
    <t>DW</t>
  </si>
  <si>
    <t>Bandeja, de plástico, de dos niveles, sin tapa</t>
  </si>
  <si>
    <t>MXN</t>
  </si>
  <si>
    <t>Mexican Peso</t>
  </si>
  <si>
    <t>JM</t>
  </si>
  <si>
    <t>Jamaica</t>
  </si>
  <si>
    <t>04022</t>
  </si>
  <si>
    <t>330</t>
  </si>
  <si>
    <t>ANGOLA</t>
  </si>
  <si>
    <t>DX</t>
  </si>
  <si>
    <t>Tray, two layers no cover, wooden</t>
  </si>
  <si>
    <t>EGP</t>
  </si>
  <si>
    <t>Egyptian Pound</t>
  </si>
  <si>
    <t>JO</t>
  </si>
  <si>
    <t>Jordan</t>
  </si>
  <si>
    <t>04023</t>
  </si>
  <si>
    <t>334</t>
  </si>
  <si>
    <t>Ethiopia</t>
  </si>
  <si>
    <t>DY</t>
  </si>
  <si>
    <t>Tray, two layers no cover, cardboard</t>
  </si>
  <si>
    <t>MNT</t>
  </si>
  <si>
    <t>Mongolian Tugrik</t>
  </si>
  <si>
    <t>JP</t>
  </si>
  <si>
    <t>Japan</t>
  </si>
  <si>
    <t>04032</t>
  </si>
  <si>
    <t>336</t>
  </si>
  <si>
    <t>Eritrea</t>
  </si>
  <si>
    <t>Bag, plastic</t>
  </si>
  <si>
    <t>MDL</t>
  </si>
  <si>
    <t>Moldovan Leu</t>
  </si>
  <si>
    <t>KE</t>
  </si>
  <si>
    <t>Kenya</t>
  </si>
  <si>
    <t>04033</t>
  </si>
  <si>
    <t>338</t>
  </si>
  <si>
    <t>Djibouti</t>
  </si>
  <si>
    <t>ED</t>
  </si>
  <si>
    <t>Case, with pallet base</t>
  </si>
  <si>
    <t>KG</t>
  </si>
  <si>
    <t>Kyrgyzstan</t>
  </si>
  <si>
    <t>04041</t>
  </si>
  <si>
    <t>342</t>
  </si>
  <si>
    <t>SOMALI</t>
  </si>
  <si>
    <t>Case, with pallet base, wooden</t>
  </si>
  <si>
    <t>MRO</t>
  </si>
  <si>
    <t>Mauritanian Ouguiya</t>
  </si>
  <si>
    <t>KH</t>
  </si>
  <si>
    <t>Cambodia</t>
  </si>
  <si>
    <t>04042</t>
  </si>
  <si>
    <t>346</t>
  </si>
  <si>
    <t>KENYA</t>
  </si>
  <si>
    <t>EF</t>
  </si>
  <si>
    <t>Case, with pallet base, cardboard</t>
  </si>
  <si>
    <t>MZN</t>
  </si>
  <si>
    <t>Mozambique Metical</t>
  </si>
  <si>
    <t>KI</t>
  </si>
  <si>
    <t>Kiribati</t>
  </si>
  <si>
    <t>04043</t>
  </si>
  <si>
    <t>350</t>
  </si>
  <si>
    <t>UGANDA</t>
  </si>
  <si>
    <t>Case, with pallet base, plastic</t>
  </si>
  <si>
    <t>MMK</t>
  </si>
  <si>
    <t>Myanmar Kyat</t>
  </si>
  <si>
    <t>KM</t>
  </si>
  <si>
    <t>Comoros</t>
  </si>
  <si>
    <t>04051</t>
  </si>
  <si>
    <t>352</t>
  </si>
  <si>
    <t>TANZANIA</t>
  </si>
  <si>
    <t>Case, with pallet base, metal</t>
  </si>
  <si>
    <t>NAD</t>
  </si>
  <si>
    <t>Namibian Dollar</t>
  </si>
  <si>
    <t>KN</t>
  </si>
  <si>
    <t>Saint Kitts and Nevis</t>
  </si>
  <si>
    <t>04061</t>
  </si>
  <si>
    <t>355</t>
  </si>
  <si>
    <t xml:space="preserve">Seychelles </t>
  </si>
  <si>
    <t>EI</t>
  </si>
  <si>
    <t>Case, isothermic</t>
  </si>
  <si>
    <t>Namibia Rand</t>
  </si>
  <si>
    <t>KP</t>
  </si>
  <si>
    <t>North Korea</t>
  </si>
  <si>
    <t>04062</t>
  </si>
  <si>
    <t>357</t>
  </si>
  <si>
    <t>British Indian Ocean Territory</t>
  </si>
  <si>
    <t>EN</t>
  </si>
  <si>
    <t>Envelope</t>
  </si>
  <si>
    <t>Nepalese Rupee</t>
  </si>
  <si>
    <t>KR</t>
  </si>
  <si>
    <t>Korea, Republic of</t>
  </si>
  <si>
    <t>04071</t>
  </si>
  <si>
    <t>366</t>
  </si>
  <si>
    <t>Mozambique</t>
  </si>
  <si>
    <t>FB</t>
  </si>
  <si>
    <t>Bolsa flexible para contenedor(flexibag)</t>
  </si>
  <si>
    <t>Niger, CFA Franc BCEAO</t>
  </si>
  <si>
    <t>KW</t>
  </si>
  <si>
    <t>Kuwait</t>
  </si>
  <si>
    <t>04082</t>
  </si>
  <si>
    <t>370</t>
  </si>
  <si>
    <t>MADAGASKAR</t>
  </si>
  <si>
    <t>FC</t>
  </si>
  <si>
    <t>Fruit crate</t>
  </si>
  <si>
    <t>NGN</t>
  </si>
  <si>
    <t>Nigerian Naira</t>
  </si>
  <si>
    <t>KY</t>
  </si>
  <si>
    <t>Cayman Is</t>
  </si>
  <si>
    <t>04083</t>
  </si>
  <si>
    <t>373</t>
  </si>
  <si>
    <t>MAURITIUS</t>
  </si>
  <si>
    <t>FD</t>
  </si>
  <si>
    <t>Framed crate</t>
  </si>
  <si>
    <t>NIO</t>
  </si>
  <si>
    <t>Nicaraguan Cordoba Oro</t>
  </si>
  <si>
    <t>KZ</t>
  </si>
  <si>
    <t>Kazakhstan</t>
  </si>
  <si>
    <t>04091</t>
  </si>
  <si>
    <t>375</t>
  </si>
  <si>
    <t>COMORO ISLAND</t>
  </si>
  <si>
    <t>FE</t>
  </si>
  <si>
    <t>Tanque flexible para contenedor(flexitank)</t>
  </si>
  <si>
    <t>NOK</t>
  </si>
  <si>
    <t>Norwegian Kroner</t>
  </si>
  <si>
    <t>LA</t>
  </si>
  <si>
    <t>Lao</t>
  </si>
  <si>
    <t>04101</t>
  </si>
  <si>
    <t>377</t>
  </si>
  <si>
    <t>MAYOTTE</t>
  </si>
  <si>
    <t>Firkin</t>
  </si>
  <si>
    <t>Central African Republic, CFA Franc BEAC</t>
  </si>
  <si>
    <t>LB</t>
  </si>
  <si>
    <t>Lebanon</t>
  </si>
  <si>
    <t>04102</t>
  </si>
  <si>
    <t>378</t>
  </si>
  <si>
    <t>ZAMBIA</t>
  </si>
  <si>
    <t>FL</t>
  </si>
  <si>
    <t>Flask</t>
  </si>
  <si>
    <t>UZS</t>
  </si>
  <si>
    <t>Uzbekistan Sum</t>
  </si>
  <si>
    <t>LC</t>
  </si>
  <si>
    <t>Saint Lucia</t>
  </si>
  <si>
    <t>04111</t>
  </si>
  <si>
    <t>382</t>
  </si>
  <si>
    <t>ZIMBABWE</t>
  </si>
  <si>
    <t>Footlocker</t>
  </si>
  <si>
    <t>PKR</t>
  </si>
  <si>
    <t>Pakistan Rupee</t>
  </si>
  <si>
    <t>LI</t>
  </si>
  <si>
    <t>Liechtenstein</t>
  </si>
  <si>
    <t>04112</t>
  </si>
  <si>
    <t>386</t>
  </si>
  <si>
    <t>MALAVI</t>
  </si>
  <si>
    <t>FP</t>
  </si>
  <si>
    <t>Filmpack</t>
  </si>
  <si>
    <t>XPD</t>
  </si>
  <si>
    <t>Palladium (oz.)</t>
  </si>
  <si>
    <t>LK</t>
  </si>
  <si>
    <t>Sri Lanka</t>
  </si>
  <si>
    <t>04113</t>
  </si>
  <si>
    <t>388</t>
  </si>
  <si>
    <t>REPUBLIC OF SOUTH AFRICA</t>
  </si>
  <si>
    <t>Frame</t>
  </si>
  <si>
    <t>PAB</t>
  </si>
  <si>
    <t>Panamanian Balboa</t>
  </si>
  <si>
    <t>LR</t>
  </si>
  <si>
    <t>Liberia</t>
  </si>
  <si>
    <t>04115</t>
  </si>
  <si>
    <t>389</t>
  </si>
  <si>
    <t>NAMIBIA</t>
  </si>
  <si>
    <t>FT</t>
  </si>
  <si>
    <t>Foodtainer</t>
  </si>
  <si>
    <t>PGK</t>
  </si>
  <si>
    <t>Papua New Guinea Kina</t>
  </si>
  <si>
    <t>LS</t>
  </si>
  <si>
    <t>Lesotho</t>
  </si>
  <si>
    <t>04121</t>
  </si>
  <si>
    <t>391</t>
  </si>
  <si>
    <t>BOSTWANA</t>
  </si>
  <si>
    <t>FW</t>
  </si>
  <si>
    <t>Carreta, de plataforma</t>
  </si>
  <si>
    <t>PYG</t>
  </si>
  <si>
    <t>Paraguay Guarani</t>
  </si>
  <si>
    <t>LT</t>
  </si>
  <si>
    <t>Lithuanian</t>
  </si>
  <si>
    <t>05012</t>
  </si>
  <si>
    <t>393</t>
  </si>
  <si>
    <t>SVAZILAND</t>
  </si>
  <si>
    <t>FX</t>
  </si>
  <si>
    <t>Bag, flexible container</t>
  </si>
  <si>
    <t>PEN</t>
  </si>
  <si>
    <t>Peruvian Nuevo Sol</t>
  </si>
  <si>
    <t>LU</t>
  </si>
  <si>
    <t>Luxembourg</t>
  </si>
  <si>
    <t>05013</t>
  </si>
  <si>
    <t>395</t>
  </si>
  <si>
    <t>LESOTHO</t>
  </si>
  <si>
    <t>Gas bottle</t>
  </si>
  <si>
    <t>XPT</t>
  </si>
  <si>
    <t>Platinum (oz.)</t>
  </si>
  <si>
    <t>LV</t>
  </si>
  <si>
    <t>Latvian</t>
  </si>
  <si>
    <t>05014</t>
  </si>
  <si>
    <t>400</t>
  </si>
  <si>
    <t>UNITED STATES</t>
  </si>
  <si>
    <t>Girder</t>
  </si>
  <si>
    <t>PLN</t>
  </si>
  <si>
    <t>Zloty</t>
  </si>
  <si>
    <t>LY</t>
  </si>
  <si>
    <t>Libyan Arab Jamahiriya</t>
  </si>
  <si>
    <t>05019</t>
  </si>
  <si>
    <t>404</t>
  </si>
  <si>
    <t>CANADA</t>
  </si>
  <si>
    <t>Contenedor de un galón</t>
  </si>
  <si>
    <t>RWF</t>
  </si>
  <si>
    <t>Rwanda Franc</t>
  </si>
  <si>
    <t>MA</t>
  </si>
  <si>
    <t>Morocco</t>
  </si>
  <si>
    <t>05020</t>
  </si>
  <si>
    <t>406</t>
  </si>
  <si>
    <t>GREENLAND</t>
  </si>
  <si>
    <t>Receptacle, glass</t>
  </si>
  <si>
    <t>RUB</t>
  </si>
  <si>
    <t>Russian Rouble</t>
  </si>
  <si>
    <t>MC</t>
  </si>
  <si>
    <t>Monaco</t>
  </si>
  <si>
    <t>05022</t>
  </si>
  <si>
    <t>408</t>
  </si>
  <si>
    <t>ST. PİERRE VE MİQUELON</t>
  </si>
  <si>
    <t>Bandeja contenedora conartículos planos apilados</t>
  </si>
  <si>
    <t>WST</t>
  </si>
  <si>
    <t>Samoan Tala</t>
  </si>
  <si>
    <t>MD</t>
  </si>
  <si>
    <t>Moldova, Republic of</t>
  </si>
  <si>
    <t>05023</t>
  </si>
  <si>
    <t>412</t>
  </si>
  <si>
    <t>MEXICO</t>
  </si>
  <si>
    <t>Saco de yute o arpillera</t>
  </si>
  <si>
    <t>STD</t>
  </si>
  <si>
    <t>Sao Tome and Principe Dobra</t>
  </si>
  <si>
    <t>ME</t>
  </si>
  <si>
    <t>Montenegro</t>
  </si>
  <si>
    <t>05024</t>
  </si>
  <si>
    <t>413</t>
  </si>
  <si>
    <t>BERMUDA</t>
  </si>
  <si>
    <t>GZ</t>
  </si>
  <si>
    <t>Girders, in bundle/bunch/truss</t>
  </si>
  <si>
    <t>Senegal, CFA Franc BCEAO</t>
  </si>
  <si>
    <t>MF</t>
  </si>
  <si>
    <t>Saint Martin (French part)</t>
  </si>
  <si>
    <t>05025</t>
  </si>
  <si>
    <t>416</t>
  </si>
  <si>
    <t>GUATEMALA</t>
  </si>
  <si>
    <t>HA</t>
  </si>
  <si>
    <t>Basket, with handle, plastic</t>
  </si>
  <si>
    <t>SCR</t>
  </si>
  <si>
    <t>Seychelles Rupee</t>
  </si>
  <si>
    <t>MG</t>
  </si>
  <si>
    <t>Madagascar</t>
  </si>
  <si>
    <t>05026</t>
  </si>
  <si>
    <t>421</t>
  </si>
  <si>
    <t>BELIZE</t>
  </si>
  <si>
    <t>HB</t>
  </si>
  <si>
    <t>Basket, with handle, wooden</t>
  </si>
  <si>
    <t>RSD</t>
  </si>
  <si>
    <t>Serbian Dinar </t>
  </si>
  <si>
    <t>MH</t>
  </si>
  <si>
    <t>Marshall Is</t>
  </si>
  <si>
    <t>05027</t>
  </si>
  <si>
    <t>424</t>
  </si>
  <si>
    <t>HONDURAS</t>
  </si>
  <si>
    <t>HC</t>
  </si>
  <si>
    <t>Basket, with handle, cardboard</t>
  </si>
  <si>
    <t>SLL</t>
  </si>
  <si>
    <t>Sierra Leone Leone</t>
  </si>
  <si>
    <t>MK</t>
  </si>
  <si>
    <t>Macedonia</t>
  </si>
  <si>
    <t>05028</t>
  </si>
  <si>
    <t>428</t>
  </si>
  <si>
    <t>EL SALVADOR</t>
  </si>
  <si>
    <t>HG</t>
  </si>
  <si>
    <t>Hogshead</t>
  </si>
  <si>
    <t>SGD</t>
  </si>
  <si>
    <t>Singapore Dollar</t>
  </si>
  <si>
    <t>ML</t>
  </si>
  <si>
    <t>Mali</t>
  </si>
  <si>
    <t>05031</t>
  </si>
  <si>
    <t>432</t>
  </si>
  <si>
    <t>NIKARAGUA</t>
  </si>
  <si>
    <t>Gancho (hanger)</t>
  </si>
  <si>
    <t>SBD</t>
  </si>
  <si>
    <t>Solomon Islands Dollar</t>
  </si>
  <si>
    <t>MM</t>
  </si>
  <si>
    <t>Myanmar</t>
  </si>
  <si>
    <t>05999</t>
  </si>
  <si>
    <t>436</t>
  </si>
  <si>
    <t>COSTA RICA</t>
  </si>
  <si>
    <t>Hamper</t>
  </si>
  <si>
    <t>SOS</t>
  </si>
  <si>
    <t>Somali Schilling</t>
  </si>
  <si>
    <t>MN</t>
  </si>
  <si>
    <t>Mongolia</t>
  </si>
  <si>
    <t>07011</t>
  </si>
  <si>
    <t>442</t>
  </si>
  <si>
    <t>PANAMA</t>
  </si>
  <si>
    <t>IA</t>
  </si>
  <si>
    <t>Package, display, wooden</t>
  </si>
  <si>
    <t>LKR</t>
  </si>
  <si>
    <t>Sri Lanka Rupee</t>
  </si>
  <si>
    <t>MO</t>
  </si>
  <si>
    <t>Macao</t>
  </si>
  <si>
    <t>07012</t>
  </si>
  <si>
    <t>446</t>
  </si>
  <si>
    <t>ANGUILLA</t>
  </si>
  <si>
    <t>IB</t>
  </si>
  <si>
    <t>Package, display, cardboard</t>
  </si>
  <si>
    <t>SHP</t>
  </si>
  <si>
    <t>St. Helena Pound</t>
  </si>
  <si>
    <t>MP</t>
  </si>
  <si>
    <t>N Mariana Is</t>
  </si>
  <si>
    <t>07013</t>
  </si>
  <si>
    <t>448</t>
  </si>
  <si>
    <t>CUBA</t>
  </si>
  <si>
    <t>IC</t>
  </si>
  <si>
    <t>Package, display, plastic</t>
  </si>
  <si>
    <t>MQ</t>
  </si>
  <si>
    <t>Martinique</t>
  </si>
  <si>
    <t>07014</t>
  </si>
  <si>
    <t>449</t>
  </si>
  <si>
    <t>ST. KİTTS ve NEVİS</t>
  </si>
  <si>
    <t>Package, display, metal</t>
  </si>
  <si>
    <t>MR</t>
  </si>
  <si>
    <t>Mauritania</t>
  </si>
  <si>
    <t>07015</t>
  </si>
  <si>
    <t>452</t>
  </si>
  <si>
    <t>HAİTİ</t>
  </si>
  <si>
    <t>Package, show</t>
  </si>
  <si>
    <t>MS</t>
  </si>
  <si>
    <t>Montserrat</t>
  </si>
  <si>
    <t>07016</t>
  </si>
  <si>
    <t>453</t>
  </si>
  <si>
    <t>BAHAMAS</t>
  </si>
  <si>
    <t>IF</t>
  </si>
  <si>
    <t>Package, flow</t>
  </si>
  <si>
    <t>SDG</t>
  </si>
  <si>
    <t>Sudanese Dinar</t>
  </si>
  <si>
    <t>MT</t>
  </si>
  <si>
    <t>Maltese</t>
  </si>
  <si>
    <t>07017</t>
  </si>
  <si>
    <t>454</t>
  </si>
  <si>
    <t>TURKS VE CAİCOS ISLAND</t>
  </si>
  <si>
    <t>IG</t>
  </si>
  <si>
    <t>Package, paper-wrapped</t>
  </si>
  <si>
    <t>SRD</t>
  </si>
  <si>
    <t>Surinam Dollar</t>
  </si>
  <si>
    <t>MU</t>
  </si>
  <si>
    <t>Mauritius</t>
  </si>
  <si>
    <t>07021</t>
  </si>
  <si>
    <t>456</t>
  </si>
  <si>
    <t>DOMINICAN REPUBLIC</t>
  </si>
  <si>
    <t>IH</t>
  </si>
  <si>
    <t>Drum, plastic</t>
  </si>
  <si>
    <t>SYP</t>
  </si>
  <si>
    <t>Syrian Pound</t>
  </si>
  <si>
    <t>MV</t>
  </si>
  <si>
    <t>Maldives</t>
  </si>
  <si>
    <t>07022</t>
  </si>
  <si>
    <t>457</t>
  </si>
  <si>
    <t>USA VIRGIN ISLAND</t>
  </si>
  <si>
    <t>IK</t>
  </si>
  <si>
    <t>Package, cardboard, with bottle grip-holes</t>
  </si>
  <si>
    <t>SAR</t>
  </si>
  <si>
    <t>Saudi Riyal</t>
  </si>
  <si>
    <t>MW</t>
  </si>
  <si>
    <t>Malawi</t>
  </si>
  <si>
    <t>07031</t>
  </si>
  <si>
    <t>459</t>
  </si>
  <si>
    <t>ANTIGUA AND BERMUDA</t>
  </si>
  <si>
    <t>Bandeja rígida, con tapa, apilable (CEN TS 14482:2002)</t>
  </si>
  <si>
    <t>SZL</t>
  </si>
  <si>
    <t>Swaziland Lilangeni</t>
  </si>
  <si>
    <t>MX</t>
  </si>
  <si>
    <t>Mexico</t>
  </si>
  <si>
    <t>07032</t>
  </si>
  <si>
    <t>460</t>
  </si>
  <si>
    <t>DOMINICA</t>
  </si>
  <si>
    <t>Ingot</t>
  </si>
  <si>
    <t>CLP</t>
  </si>
  <si>
    <t>Chilean Peso</t>
  </si>
  <si>
    <t>MY</t>
  </si>
  <si>
    <t>Malaysia</t>
  </si>
  <si>
    <t>07033</t>
  </si>
  <si>
    <t>463</t>
  </si>
  <si>
    <t>CAYMAN ISLAND</t>
  </si>
  <si>
    <t>IZ</t>
  </si>
  <si>
    <t>Ingots, in bundle/bunch/truss</t>
  </si>
  <si>
    <t>TJS</t>
  </si>
  <si>
    <t>Somoni</t>
  </si>
  <si>
    <t>MZ</t>
  </si>
  <si>
    <t>Mozambique</t>
  </si>
  <si>
    <t>07034</t>
  </si>
  <si>
    <t>464</t>
  </si>
  <si>
    <t>JAMAICA</t>
  </si>
  <si>
    <t>JB</t>
  </si>
  <si>
    <t>Saco cúbico de polipropileno (jumbo bag)</t>
  </si>
  <si>
    <t>TZS</t>
  </si>
  <si>
    <t>Tanzanian Schilling</t>
  </si>
  <si>
    <t>NA</t>
  </si>
  <si>
    <t>Namibia</t>
  </si>
  <si>
    <t>07035</t>
  </si>
  <si>
    <t>465</t>
  </si>
  <si>
    <t>ST. LUCIA</t>
  </si>
  <si>
    <t>JC</t>
  </si>
  <si>
    <t>Jerrycan, rectangular</t>
  </si>
  <si>
    <t>THB</t>
  </si>
  <si>
    <t>Thai Baht</t>
  </si>
  <si>
    <t>NC</t>
  </si>
  <si>
    <t>New Caledonia</t>
  </si>
  <si>
    <t>08011</t>
  </si>
  <si>
    <t>467</t>
  </si>
  <si>
    <t>St Vincent and the Grenadines</t>
  </si>
  <si>
    <t>JG</t>
  </si>
  <si>
    <t>Jug</t>
  </si>
  <si>
    <t>TWD</t>
  </si>
  <si>
    <t>New Taiwan Dollar</t>
  </si>
  <si>
    <t>NE</t>
  </si>
  <si>
    <t>Niger</t>
  </si>
  <si>
    <t>08012</t>
  </si>
  <si>
    <t>468</t>
  </si>
  <si>
    <t>Virgin Islands (British)</t>
  </si>
  <si>
    <t>JR</t>
  </si>
  <si>
    <t>Jar</t>
  </si>
  <si>
    <t>Togo, CFA Franc BCEAO</t>
  </si>
  <si>
    <t>NF</t>
  </si>
  <si>
    <t>Norfolk Island</t>
  </si>
  <si>
    <t>08013</t>
  </si>
  <si>
    <t>469</t>
  </si>
  <si>
    <t>BARBADOS</t>
  </si>
  <si>
    <t>JT</t>
  </si>
  <si>
    <t>Jutebag</t>
  </si>
  <si>
    <t>TOP</t>
  </si>
  <si>
    <t>Tongan Pa'anga</t>
  </si>
  <si>
    <t>NG</t>
  </si>
  <si>
    <t>Nigeria</t>
  </si>
  <si>
    <t>08014</t>
  </si>
  <si>
    <t>470</t>
  </si>
  <si>
    <t>MONTSERRAT</t>
  </si>
  <si>
    <t>JY</t>
  </si>
  <si>
    <t>Jerrycan, cylindrical</t>
  </si>
  <si>
    <t>TTD</t>
  </si>
  <si>
    <t>Trinidad and Tobago Dollar</t>
  </si>
  <si>
    <t>NI</t>
  </si>
  <si>
    <t>Nicaragua</t>
  </si>
  <si>
    <t>08021</t>
  </si>
  <si>
    <t>472</t>
  </si>
  <si>
    <t>TRİNİDAD AND TOBAGO</t>
  </si>
  <si>
    <t>Keg</t>
  </si>
  <si>
    <t>TND</t>
  </si>
  <si>
    <t>Tunisian Dinar</t>
  </si>
  <si>
    <t>NL</t>
  </si>
  <si>
    <t>Dutch</t>
  </si>
  <si>
    <t>08031</t>
  </si>
  <si>
    <t>473</t>
  </si>
  <si>
    <t>GRENADA</t>
  </si>
  <si>
    <t>Juego (kit)</t>
  </si>
  <si>
    <t>TRY</t>
  </si>
  <si>
    <t>Turkish Lira</t>
  </si>
  <si>
    <t>NO</t>
  </si>
  <si>
    <t>Norwegian</t>
  </si>
  <si>
    <t>08032</t>
  </si>
  <si>
    <t>474</t>
  </si>
  <si>
    <t>ARUBA</t>
  </si>
  <si>
    <t>Container</t>
  </si>
  <si>
    <t>TMT</t>
  </si>
  <si>
    <t>Turkmenistan New Manat </t>
  </si>
  <si>
    <t>NP</t>
  </si>
  <si>
    <t>Nepal</t>
  </si>
  <si>
    <t>08033</t>
  </si>
  <si>
    <t>480</t>
  </si>
  <si>
    <t>COLOMBIA</t>
  </si>
  <si>
    <t>LE</t>
  </si>
  <si>
    <t>Equipaje</t>
  </si>
  <si>
    <t>UGX</t>
  </si>
  <si>
    <t>Uganda Shilling</t>
  </si>
  <si>
    <t>NR</t>
  </si>
  <si>
    <t>Nauru</t>
  </si>
  <si>
    <t>08034</t>
  </si>
  <si>
    <t>484</t>
  </si>
  <si>
    <t>VENEZUELLA</t>
  </si>
  <si>
    <t>LG</t>
  </si>
  <si>
    <t>Log</t>
  </si>
  <si>
    <t>UAH</t>
  </si>
  <si>
    <t>Ukraine Hryvnia</t>
  </si>
  <si>
    <t>NU</t>
  </si>
  <si>
    <t>Niue</t>
  </si>
  <si>
    <t>08035</t>
  </si>
  <si>
    <t>488</t>
  </si>
  <si>
    <t>GUYANA</t>
  </si>
  <si>
    <t>Lot</t>
  </si>
  <si>
    <t>OMR</t>
  </si>
  <si>
    <t>Rial Omani</t>
  </si>
  <si>
    <t>NZ</t>
  </si>
  <si>
    <t>New Zealand</t>
  </si>
  <si>
    <t>08036</t>
  </si>
  <si>
    <t>492</t>
  </si>
  <si>
    <t>SURINAME</t>
  </si>
  <si>
    <t>Caja de madera (lug)</t>
  </si>
  <si>
    <t>UYU</t>
  </si>
  <si>
    <t>Peso Uruguayo</t>
  </si>
  <si>
    <t>OM</t>
  </si>
  <si>
    <t>Oman</t>
  </si>
  <si>
    <t>08999</t>
  </si>
  <si>
    <t>500</t>
  </si>
  <si>
    <t>ECUADOR</t>
  </si>
  <si>
    <t>Lift van</t>
  </si>
  <si>
    <t>JOD</t>
  </si>
  <si>
    <t>Jordanian Dinar</t>
  </si>
  <si>
    <t>PA</t>
  </si>
  <si>
    <t>Panama</t>
  </si>
  <si>
    <t>09001</t>
  </si>
  <si>
    <t>504</t>
  </si>
  <si>
    <t>PERU</t>
  </si>
  <si>
    <t>LZ</t>
  </si>
  <si>
    <t>Logs, in bundle/bunch/truss</t>
  </si>
  <si>
    <t>VUV</t>
  </si>
  <si>
    <t>Vanuatu Vatu</t>
  </si>
  <si>
    <t>PE</t>
  </si>
  <si>
    <t>Peru</t>
  </si>
  <si>
    <t>09002</t>
  </si>
  <si>
    <t>508</t>
  </si>
  <si>
    <t>BRAZIL</t>
  </si>
  <si>
    <t>Cajón de metal</t>
  </si>
  <si>
    <t>VEF</t>
  </si>
  <si>
    <t>Venezuelan Bolivar</t>
  </si>
  <si>
    <t>PF</t>
  </si>
  <si>
    <t>French Polynesia</t>
  </si>
  <si>
    <t>09003</t>
  </si>
  <si>
    <t>512</t>
  </si>
  <si>
    <t>CHILE</t>
  </si>
  <si>
    <t>MB</t>
  </si>
  <si>
    <t>Multiply bag</t>
  </si>
  <si>
    <t>VND</t>
  </si>
  <si>
    <t>Vietnamese Dong</t>
  </si>
  <si>
    <t>PG</t>
  </si>
  <si>
    <t>Papua New Guinea</t>
  </si>
  <si>
    <t>09004</t>
  </si>
  <si>
    <t>516</t>
  </si>
  <si>
    <t>BOLIVIA</t>
  </si>
  <si>
    <t>Milk crate</t>
  </si>
  <si>
    <t>Wallis and Futuna, CFP Franc</t>
  </si>
  <si>
    <t>PH</t>
  </si>
  <si>
    <t>Philippines</t>
  </si>
  <si>
    <t>09005</t>
  </si>
  <si>
    <t>520</t>
  </si>
  <si>
    <t>PARAGUAY</t>
  </si>
  <si>
    <t>Contenedor de metal</t>
  </si>
  <si>
    <t>YER</t>
  </si>
  <si>
    <t>Yemeni Rial</t>
  </si>
  <si>
    <t>PK</t>
  </si>
  <si>
    <t>Pakistan</t>
  </si>
  <si>
    <t>09006</t>
  </si>
  <si>
    <t>524</t>
  </si>
  <si>
    <t>URUGUAY</t>
  </si>
  <si>
    <t>Receptacle, metal</t>
  </si>
  <si>
    <t>New Caledonia, CFP Franc</t>
  </si>
  <si>
    <t>PL</t>
  </si>
  <si>
    <t>Polish</t>
  </si>
  <si>
    <t>09011</t>
  </si>
  <si>
    <t>528</t>
  </si>
  <si>
    <t>ARGENTINA</t>
  </si>
  <si>
    <t>Multiwall sack</t>
  </si>
  <si>
    <t>RON</t>
  </si>
  <si>
    <t>New Romanian Leu </t>
  </si>
  <si>
    <t>PM</t>
  </si>
  <si>
    <t>St Pierre/Miquelon</t>
  </si>
  <si>
    <t>09016</t>
  </si>
  <si>
    <t>529</t>
  </si>
  <si>
    <t>FALKLAND ISLANDS</t>
  </si>
  <si>
    <t>Mat</t>
  </si>
  <si>
    <t>NZD</t>
  </si>
  <si>
    <t>New Zealand Dollar</t>
  </si>
  <si>
    <t>PN</t>
  </si>
  <si>
    <t>Pitcairn</t>
  </si>
  <si>
    <t>09017</t>
  </si>
  <si>
    <t>600</t>
  </si>
  <si>
    <t>CYPRUS</t>
  </si>
  <si>
    <t>Receptacle, plastic-wrapped</t>
  </si>
  <si>
    <t>CVE</t>
  </si>
  <si>
    <t>Cape Verde Escudo</t>
  </si>
  <si>
    <t>PR</t>
  </si>
  <si>
    <t>Puerto Rico</t>
  </si>
  <si>
    <t>09018</t>
  </si>
  <si>
    <t>601</t>
  </si>
  <si>
    <t>NORTHERN CYPRUS TURKISH REPUBLIC</t>
  </si>
  <si>
    <t>Matchbox</t>
  </si>
  <si>
    <t>ZMK</t>
  </si>
  <si>
    <t>Zambian Kwacha</t>
  </si>
  <si>
    <t>PS</t>
  </si>
  <si>
    <t>Palestinian Territory</t>
  </si>
  <si>
    <t>09019</t>
  </si>
  <si>
    <t>604</t>
  </si>
  <si>
    <t>LEBANON</t>
  </si>
  <si>
    <t>Not available</t>
  </si>
  <si>
    <t>ZWL</t>
  </si>
  <si>
    <t>Zimbabwe Dollar</t>
  </si>
  <si>
    <t>PT</t>
  </si>
  <si>
    <t>Portuguese</t>
  </si>
  <si>
    <t>09023</t>
  </si>
  <si>
    <t>608</t>
  </si>
  <si>
    <t xml:space="preserve">Syrian Arab Republic </t>
  </si>
  <si>
    <t>Unpacked or unpackaged</t>
  </si>
  <si>
    <t>Others</t>
  </si>
  <si>
    <t>PW</t>
  </si>
  <si>
    <t>Palau</t>
  </si>
  <si>
    <t>09026</t>
  </si>
  <si>
    <t>612</t>
  </si>
  <si>
    <t>IRAQ</t>
  </si>
  <si>
    <t>Unpacked or unpackaged, single unit</t>
  </si>
  <si>
    <t>PY</t>
  </si>
  <si>
    <t>Paraguay</t>
  </si>
  <si>
    <t>09027</t>
  </si>
  <si>
    <t>616</t>
  </si>
  <si>
    <t>IRAN</t>
  </si>
  <si>
    <t>Unpacked or unpackaged, multiple units</t>
  </si>
  <si>
    <t>QA</t>
  </si>
  <si>
    <t>Qatar</t>
  </si>
  <si>
    <t>09031</t>
  </si>
  <si>
    <t>624</t>
  </si>
  <si>
    <t>ISRAEL</t>
  </si>
  <si>
    <t>NS</t>
  </si>
  <si>
    <t>Nest</t>
  </si>
  <si>
    <t>RE</t>
  </si>
  <si>
    <t>Réunion</t>
  </si>
  <si>
    <t>09033</t>
  </si>
  <si>
    <t>625</t>
  </si>
  <si>
    <t>Occupied Palestinian Territory</t>
  </si>
  <si>
    <t>NT</t>
  </si>
  <si>
    <t>Net</t>
  </si>
  <si>
    <t>RO</t>
  </si>
  <si>
    <t>Romanian</t>
  </si>
  <si>
    <t>09034</t>
  </si>
  <si>
    <t>626</t>
  </si>
  <si>
    <t>TIMOR LESTE</t>
  </si>
  <si>
    <t>Net, tube, plastic</t>
  </si>
  <si>
    <t>RS</t>
  </si>
  <si>
    <t>Serbia</t>
  </si>
  <si>
    <t>09037</t>
  </si>
  <si>
    <t>628</t>
  </si>
  <si>
    <t>JORDAN</t>
  </si>
  <si>
    <t>NV</t>
  </si>
  <si>
    <t>Net, tube, textile</t>
  </si>
  <si>
    <t>RU</t>
  </si>
  <si>
    <t>Russian</t>
  </si>
  <si>
    <t>09038</t>
  </si>
  <si>
    <t>632</t>
  </si>
  <si>
    <t>SAUDI ARABIA</t>
  </si>
  <si>
    <t>O1</t>
  </si>
  <si>
    <t>Two sided cage on wheels with fixing strap</t>
  </si>
  <si>
    <t>RW</t>
  </si>
  <si>
    <t>Rwanda</t>
  </si>
  <si>
    <t>09039</t>
  </si>
  <si>
    <t>636</t>
  </si>
  <si>
    <t>KUWAIT</t>
  </si>
  <si>
    <t>O2</t>
  </si>
  <si>
    <t>Trolley</t>
  </si>
  <si>
    <t>SA</t>
  </si>
  <si>
    <t>Saudi Arabia</t>
  </si>
  <si>
    <t>09040</t>
  </si>
  <si>
    <t>640</t>
  </si>
  <si>
    <t>BAHRAIN</t>
  </si>
  <si>
    <t>O3</t>
  </si>
  <si>
    <t>Oneway pallet ISO 0 - 1/2 EURO Pallet</t>
  </si>
  <si>
    <t>SB</t>
  </si>
  <si>
    <t>Solomon Is</t>
  </si>
  <si>
    <t>10000</t>
  </si>
  <si>
    <t>644</t>
  </si>
  <si>
    <t>QATAR</t>
  </si>
  <si>
    <t>O4</t>
  </si>
  <si>
    <t>Oneway pallet ISO 1 - 1/1 EURO Pallet</t>
  </si>
  <si>
    <t>SC</t>
  </si>
  <si>
    <t>Seychelles</t>
  </si>
  <si>
    <t>10001</t>
  </si>
  <si>
    <t>647</t>
  </si>
  <si>
    <t>UNITED ARAB EMIRATES</t>
  </si>
  <si>
    <t>O5</t>
  </si>
  <si>
    <t>Oneway pallet ISO 2 - 2/1 EURO Pallet</t>
  </si>
  <si>
    <t>SD</t>
  </si>
  <si>
    <t>Sudan</t>
  </si>
  <si>
    <t>10011</t>
  </si>
  <si>
    <t>648</t>
  </si>
  <si>
    <t>DUBAI</t>
  </si>
  <si>
    <t>O6</t>
  </si>
  <si>
    <t>Pallet with exceptional dimensions</t>
  </si>
  <si>
    <t>SE</t>
  </si>
  <si>
    <t>Swedish</t>
  </si>
  <si>
    <t>10012</t>
  </si>
  <si>
    <t>649</t>
  </si>
  <si>
    <t>UMMAN</t>
  </si>
  <si>
    <t>O7</t>
  </si>
  <si>
    <t>Wooden pallet 40 cm x 80 cm</t>
  </si>
  <si>
    <t>SG</t>
  </si>
  <si>
    <t>Singapore</t>
  </si>
  <si>
    <t>10013</t>
  </si>
  <si>
    <t>653</t>
  </si>
  <si>
    <t>YEMEN</t>
  </si>
  <si>
    <t>O8</t>
  </si>
  <si>
    <t>Plastic pallet SRS 60 cm x 80 cm</t>
  </si>
  <si>
    <t>SH</t>
  </si>
  <si>
    <t>Saint Helena</t>
  </si>
  <si>
    <t>10014</t>
  </si>
  <si>
    <t>660</t>
  </si>
  <si>
    <t>AFGHANISTAN</t>
  </si>
  <si>
    <t>O9</t>
  </si>
  <si>
    <t>Plastic pallet SRS 80 cm x 120 cm</t>
  </si>
  <si>
    <t>SI</t>
  </si>
  <si>
    <t>Slovenian</t>
  </si>
  <si>
    <t>10015</t>
  </si>
  <si>
    <t>662</t>
  </si>
  <si>
    <t>PAKISTAN</t>
  </si>
  <si>
    <t>OA</t>
  </si>
  <si>
    <t>Paleta, CHEP 40 cm x 60 cm</t>
  </si>
  <si>
    <t>SJ</t>
  </si>
  <si>
    <t>Svalbard and Jan Mayen</t>
  </si>
  <si>
    <t>10017</t>
  </si>
  <si>
    <t>664</t>
  </si>
  <si>
    <t>INDIA</t>
  </si>
  <si>
    <t>OB</t>
  </si>
  <si>
    <t>Paleta, CHEP 80 cm x 120 cm</t>
  </si>
  <si>
    <t>SK</t>
  </si>
  <si>
    <t>Slovak</t>
  </si>
  <si>
    <t>10018</t>
  </si>
  <si>
    <t>666</t>
  </si>
  <si>
    <t>BANGLADESH</t>
  </si>
  <si>
    <t>OC</t>
  </si>
  <si>
    <t>Paleta, CHEP 100 cm x 120 cm</t>
  </si>
  <si>
    <t>SL</t>
  </si>
  <si>
    <t>Sierra Leone</t>
  </si>
  <si>
    <t>10020</t>
  </si>
  <si>
    <t>667</t>
  </si>
  <si>
    <t>MALDIVES</t>
  </si>
  <si>
    <t>OD</t>
  </si>
  <si>
    <t>Paleta, AS 4068-1993</t>
  </si>
  <si>
    <t>SM</t>
  </si>
  <si>
    <t>San Marino</t>
  </si>
  <si>
    <t>10021</t>
  </si>
  <si>
    <t>669</t>
  </si>
  <si>
    <t>SRI LANKA</t>
  </si>
  <si>
    <t>OE</t>
  </si>
  <si>
    <t>Paleta, ISO T11</t>
  </si>
  <si>
    <t>SN</t>
  </si>
  <si>
    <t>Senegal</t>
  </si>
  <si>
    <t>10022</t>
  </si>
  <si>
    <t>672</t>
  </si>
  <si>
    <t>NEPAL</t>
  </si>
  <si>
    <t>OF</t>
  </si>
  <si>
    <t>Plataforma de peso o dimensión indeterminados</t>
  </si>
  <si>
    <t>SO</t>
  </si>
  <si>
    <t>Somalia</t>
  </si>
  <si>
    <t>10023</t>
  </si>
  <si>
    <t>675</t>
  </si>
  <si>
    <t>BHUTAN</t>
  </si>
  <si>
    <t>OG</t>
  </si>
  <si>
    <t>Pallet ISO 0 - 1/2 EURO Pallet</t>
  </si>
  <si>
    <t>SR</t>
  </si>
  <si>
    <t>Suriname</t>
  </si>
  <si>
    <t>10024</t>
  </si>
  <si>
    <t>676</t>
  </si>
  <si>
    <t>MYANMAR (BURMA)</t>
  </si>
  <si>
    <t>OH</t>
  </si>
  <si>
    <t>Pallet ISO 1 - 1/1 EURO Pallet</t>
  </si>
  <si>
    <t>SS</t>
  </si>
  <si>
    <t>South Sudan</t>
  </si>
  <si>
    <t>10025</t>
  </si>
  <si>
    <t>680</t>
  </si>
  <si>
    <t>THAILAND</t>
  </si>
  <si>
    <t>OI</t>
  </si>
  <si>
    <t>Pallet ISO 2 – 2/1 EURO Pallet</t>
  </si>
  <si>
    <t>ST</t>
  </si>
  <si>
    <t>Sao Tome and Principe</t>
  </si>
  <si>
    <t>10026</t>
  </si>
  <si>
    <t>684</t>
  </si>
  <si>
    <t>LAOS</t>
  </si>
  <si>
    <t>OJ</t>
  </si>
  <si>
    <t>1/4 EURO Pallet</t>
  </si>
  <si>
    <t>SV</t>
  </si>
  <si>
    <t>El Salvador</t>
  </si>
  <si>
    <t>10041</t>
  </si>
  <si>
    <t>690</t>
  </si>
  <si>
    <t>VIETNAM</t>
  </si>
  <si>
    <t>OK</t>
  </si>
  <si>
    <t>Bloque</t>
  </si>
  <si>
    <t>SX</t>
  </si>
  <si>
    <t>Sint Maarten (Dutch part)</t>
  </si>
  <si>
    <t>10042</t>
  </si>
  <si>
    <t>696</t>
  </si>
  <si>
    <t>CAMBODIA</t>
  </si>
  <si>
    <t>OL</t>
  </si>
  <si>
    <t>1/8 EURO Pallet</t>
  </si>
  <si>
    <t>SY</t>
  </si>
  <si>
    <t>Syrian Arab Republic</t>
  </si>
  <si>
    <t>10043</t>
  </si>
  <si>
    <t>700</t>
  </si>
  <si>
    <t>INDONESIA</t>
  </si>
  <si>
    <t>Synthetic pallet ISO 1</t>
  </si>
  <si>
    <t>SZ</t>
  </si>
  <si>
    <t>Swaziland</t>
  </si>
  <si>
    <t>10044</t>
  </si>
  <si>
    <t>701</t>
  </si>
  <si>
    <t>MALAYSIA</t>
  </si>
  <si>
    <t>ON</t>
  </si>
  <si>
    <t>Synthetic pallet ISO 2</t>
  </si>
  <si>
    <t>TC</t>
  </si>
  <si>
    <t>Turks and Caicos Is</t>
  </si>
  <si>
    <t>10045</t>
  </si>
  <si>
    <t>703</t>
  </si>
  <si>
    <t>BRUNEI</t>
  </si>
  <si>
    <t>OP</t>
  </si>
  <si>
    <t>Wholesaler pallet</t>
  </si>
  <si>
    <t>TD</t>
  </si>
  <si>
    <t>Chad</t>
  </si>
  <si>
    <t>10046</t>
  </si>
  <si>
    <t>706</t>
  </si>
  <si>
    <t>SINGAPUR</t>
  </si>
  <si>
    <t>OQ</t>
  </si>
  <si>
    <t>Pallet 80 X 100 cm</t>
  </si>
  <si>
    <t>TF</t>
  </si>
  <si>
    <t>French S Terr</t>
  </si>
  <si>
    <t>10050</t>
  </si>
  <si>
    <t>708</t>
  </si>
  <si>
    <t>PALESTINIAN</t>
  </si>
  <si>
    <t>OR</t>
  </si>
  <si>
    <t>Pallet 60 X 100 cm</t>
  </si>
  <si>
    <t>TG</t>
  </si>
  <si>
    <t>Togo</t>
  </si>
  <si>
    <t>10051</t>
  </si>
  <si>
    <t>716</t>
  </si>
  <si>
    <t>MONGOLIA</t>
  </si>
  <si>
    <t>OS</t>
  </si>
  <si>
    <t>Oneway pallet</t>
  </si>
  <si>
    <t>TH</t>
  </si>
  <si>
    <t>Thailand</t>
  </si>
  <si>
    <t>720</t>
  </si>
  <si>
    <t>REPUBLIC OF CHINA</t>
  </si>
  <si>
    <t>OT</t>
  </si>
  <si>
    <t>Gran contenedor de cartón octogonal (octabin)</t>
  </si>
  <si>
    <t>TJ</t>
  </si>
  <si>
    <t>Tajikistan</t>
  </si>
  <si>
    <t>724</t>
  </si>
  <si>
    <t xml:space="preserve">Korea, Democratic People's Republic of </t>
  </si>
  <si>
    <t>OU</t>
  </si>
  <si>
    <t>Contenedor exterior</t>
  </si>
  <si>
    <t>TK</t>
  </si>
  <si>
    <t>Tokelau</t>
  </si>
  <si>
    <t>728</t>
  </si>
  <si>
    <t>Korea, Republic of 
Often referred to as South Korea</t>
  </si>
  <si>
    <t>OV</t>
  </si>
  <si>
    <t>Returnable pallet</t>
  </si>
  <si>
    <t>TL</t>
  </si>
  <si>
    <t>Timor-Leste</t>
  </si>
  <si>
    <t>732</t>
  </si>
  <si>
    <t>JAPAN</t>
  </si>
  <si>
    <t>OW</t>
  </si>
  <si>
    <t>Large bag, pallet sized</t>
  </si>
  <si>
    <t>TM</t>
  </si>
  <si>
    <t>Turkmenistan</t>
  </si>
  <si>
    <t>736</t>
  </si>
  <si>
    <t>TAIWAN</t>
  </si>
  <si>
    <t>OX</t>
  </si>
  <si>
    <t>A wheeled pallet with raised rim (81 x 67 x 135)</t>
  </si>
  <si>
    <t>TN</t>
  </si>
  <si>
    <t>Tunisia</t>
  </si>
  <si>
    <t>740</t>
  </si>
  <si>
    <t>HONG KONG</t>
  </si>
  <si>
    <t>OY</t>
  </si>
  <si>
    <t>A Wheeled pallet with raised rim (81 x 72 x 135)</t>
  </si>
  <si>
    <t>TO</t>
  </si>
  <si>
    <t>Tonga</t>
  </si>
  <si>
    <t>743</t>
  </si>
  <si>
    <t>MAKAO</t>
  </si>
  <si>
    <t>OZ</t>
  </si>
  <si>
    <t>Wheeled pallet with raised rim ( 81 x 60 x 16)</t>
  </si>
  <si>
    <t>TR</t>
  </si>
  <si>
    <t>Turkish</t>
  </si>
  <si>
    <t>800</t>
  </si>
  <si>
    <t>AUSTRALIA</t>
  </si>
  <si>
    <t>P1</t>
  </si>
  <si>
    <t>CHEP pallet 60 cm x 80 cm</t>
  </si>
  <si>
    <t>TT</t>
  </si>
  <si>
    <t>Trinidad and Tobago</t>
  </si>
  <si>
    <t>801</t>
  </si>
  <si>
    <t>PAPUA NEW GUINEA</t>
  </si>
  <si>
    <t>P2</t>
  </si>
  <si>
    <t>Bandeja (pan)</t>
  </si>
  <si>
    <t>TV</t>
  </si>
  <si>
    <t>Tuvalu</t>
  </si>
  <si>
    <t>803</t>
  </si>
  <si>
    <t>NAURU</t>
  </si>
  <si>
    <t>P3</t>
  </si>
  <si>
    <t>LPR pallet 60 cm x 80 cm</t>
  </si>
  <si>
    <t>TW</t>
  </si>
  <si>
    <t>Taiwan</t>
  </si>
  <si>
    <t>804</t>
  </si>
  <si>
    <t>NEW ZELAND</t>
  </si>
  <si>
    <t>P4</t>
  </si>
  <si>
    <t>LPR pallet 80 cm x 120 cm</t>
  </si>
  <si>
    <t>TZ</t>
  </si>
  <si>
    <t>Tanzania</t>
  </si>
  <si>
    <t>806</t>
  </si>
  <si>
    <t>SOLOMON ISLANDS</t>
  </si>
  <si>
    <t>Packet</t>
  </si>
  <si>
    <t>UA</t>
  </si>
  <si>
    <t>Ukrainian</t>
  </si>
  <si>
    <t>807</t>
  </si>
  <si>
    <t>TUVALU</t>
  </si>
  <si>
    <t>PB</t>
  </si>
  <si>
    <t>Pallet, box</t>
  </si>
  <si>
    <t>UG</t>
  </si>
  <si>
    <t>Uganda</t>
  </si>
  <si>
    <t>809</t>
  </si>
  <si>
    <t>NEW CALEDONIA</t>
  </si>
  <si>
    <t>PC</t>
  </si>
  <si>
    <t>Parcel</t>
  </si>
  <si>
    <t>UM</t>
  </si>
  <si>
    <t>United States Minor Outlying Islands</t>
  </si>
  <si>
    <t>811</t>
  </si>
  <si>
    <t>WALLIS AND FUTUNA ISLANDS</t>
  </si>
  <si>
    <t>PD</t>
  </si>
  <si>
    <t>Pallet, modular, collars 80 cm × 100 cm</t>
  </si>
  <si>
    <t>US</t>
  </si>
  <si>
    <t>United States</t>
  </si>
  <si>
    <t>812</t>
  </si>
  <si>
    <t>KIRIBATI</t>
  </si>
  <si>
    <t>Pallet, modular, collars 80 cm × 120 cm</t>
  </si>
  <si>
    <t>UY</t>
  </si>
  <si>
    <t>Uruguay</t>
  </si>
  <si>
    <t>813</t>
  </si>
  <si>
    <t>PITCAIRN</t>
  </si>
  <si>
    <t>Pen</t>
  </si>
  <si>
    <t>UZ</t>
  </si>
  <si>
    <t>Uzbekistan</t>
  </si>
  <si>
    <t>815</t>
  </si>
  <si>
    <t>FIJI</t>
  </si>
  <si>
    <t>Plate</t>
  </si>
  <si>
    <t>VA</t>
  </si>
  <si>
    <t>Holy See</t>
  </si>
  <si>
    <t>816</t>
  </si>
  <si>
    <t>VANUATU</t>
  </si>
  <si>
    <t>Pitcher</t>
  </si>
  <si>
    <t>VC</t>
  </si>
  <si>
    <t>St Vincent/Grenadines</t>
  </si>
  <si>
    <t>817</t>
  </si>
  <si>
    <t>TONGA</t>
  </si>
  <si>
    <t>PI</t>
  </si>
  <si>
    <t>Pipe</t>
  </si>
  <si>
    <t>VE</t>
  </si>
  <si>
    <t>Venezuela</t>
  </si>
  <si>
    <t>819</t>
  </si>
  <si>
    <t>SAMOA (WEST SAMOA)</t>
  </si>
  <si>
    <t>PJ</t>
  </si>
  <si>
    <t>Punnet</t>
  </si>
  <si>
    <t>VG</t>
  </si>
  <si>
    <t>Virgin Is, British</t>
  </si>
  <si>
    <t>820</t>
  </si>
  <si>
    <t>NORTH MARIANA ISLANDS</t>
  </si>
  <si>
    <t>Package</t>
  </si>
  <si>
    <t>VI</t>
  </si>
  <si>
    <t>Virgin Is, U.S.</t>
  </si>
  <si>
    <t>822</t>
  </si>
  <si>
    <t xml:space="preserve">French Polynesia </t>
  </si>
  <si>
    <t>Pail</t>
  </si>
  <si>
    <t>VN</t>
  </si>
  <si>
    <t>Viet Nam</t>
  </si>
  <si>
    <t>823</t>
  </si>
  <si>
    <t>MICRONESIA</t>
  </si>
  <si>
    <t>Plank</t>
  </si>
  <si>
    <t>VU</t>
  </si>
  <si>
    <t>Vanuatu</t>
  </si>
  <si>
    <t>824</t>
  </si>
  <si>
    <t>MARSHALL ISLANDS</t>
  </si>
  <si>
    <t>PO</t>
  </si>
  <si>
    <t>Pouch</t>
  </si>
  <si>
    <t>WF</t>
  </si>
  <si>
    <t>Wallis and Futuna</t>
  </si>
  <si>
    <t>825</t>
  </si>
  <si>
    <t>PALAU</t>
  </si>
  <si>
    <t>PP</t>
  </si>
  <si>
    <t>Pieza suelta</t>
  </si>
  <si>
    <t>WS</t>
  </si>
  <si>
    <t>Samoa</t>
  </si>
  <si>
    <t>830</t>
  </si>
  <si>
    <t>AMERICAN SAMOA</t>
  </si>
  <si>
    <t>Receptacle, plastic</t>
  </si>
  <si>
    <t>YE</t>
  </si>
  <si>
    <t>Yemen</t>
  </si>
  <si>
    <t>831</t>
  </si>
  <si>
    <t>GUAM</t>
  </si>
  <si>
    <t>Pot</t>
  </si>
  <si>
    <t>YT</t>
  </si>
  <si>
    <t>Mayotte</t>
  </si>
  <si>
    <t>832</t>
  </si>
  <si>
    <t xml:space="preserve">United States Minor Outlying
Islands </t>
  </si>
  <si>
    <t>PU</t>
  </si>
  <si>
    <t>Tray/Tray pack</t>
  </si>
  <si>
    <t>ZA</t>
  </si>
  <si>
    <t>South Africa</t>
  </si>
  <si>
    <t>833</t>
  </si>
  <si>
    <t>COCOS ISLANDS</t>
  </si>
  <si>
    <t>PV</t>
  </si>
  <si>
    <t>Pipes, in bundle/bunch/truss</t>
  </si>
  <si>
    <t>ZM</t>
  </si>
  <si>
    <t>Zambia</t>
  </si>
  <si>
    <t>834</t>
  </si>
  <si>
    <t>CHRISTMAS ISLAND</t>
  </si>
  <si>
    <t>PX</t>
  </si>
  <si>
    <t>Pallet</t>
  </si>
  <si>
    <t>ZW</t>
  </si>
  <si>
    <t>Zimbabwe</t>
  </si>
  <si>
    <t>835</t>
  </si>
  <si>
    <t>HEARD ISLAND</t>
  </si>
  <si>
    <t>Plates, in bundle/bunch/truss</t>
  </si>
  <si>
    <t>XC</t>
  </si>
  <si>
    <t>Ceuta</t>
  </si>
  <si>
    <t>836</t>
  </si>
  <si>
    <t>NORFOLK ISLAND</t>
  </si>
  <si>
    <t>PZ</t>
  </si>
  <si>
    <t>Pipes/planks, in bundle/bunch/truss</t>
  </si>
  <si>
    <t>XI</t>
  </si>
  <si>
    <t>United Kingdom (Northern Ireland)</t>
  </si>
  <si>
    <t>837</t>
  </si>
  <si>
    <t>COOK ISLAND</t>
  </si>
  <si>
    <t>Drum, steel, non-removable head</t>
  </si>
  <si>
    <t>XK</t>
  </si>
  <si>
    <t>Kosovo</t>
  </si>
  <si>
    <t>838</t>
  </si>
  <si>
    <t>NIUE</t>
  </si>
  <si>
    <t>QB</t>
  </si>
  <si>
    <t>Drum, steel, removable head</t>
  </si>
  <si>
    <t>XL</t>
  </si>
  <si>
    <t>Melilla</t>
  </si>
  <si>
    <t>839</t>
  </si>
  <si>
    <t>TOKELAU</t>
  </si>
  <si>
    <t>QC</t>
  </si>
  <si>
    <t>Drum, aluminium, non-removable head</t>
  </si>
  <si>
    <t>891</t>
  </si>
  <si>
    <t>ANTARCTICA</t>
  </si>
  <si>
    <t>QD</t>
  </si>
  <si>
    <t>Drum, aluminium, removable head</t>
  </si>
  <si>
    <t>892</t>
  </si>
  <si>
    <t>BOUVET ISLAND</t>
  </si>
  <si>
    <t>QF</t>
  </si>
  <si>
    <t>Drum, plastic, non-removable head</t>
  </si>
  <si>
    <t>893</t>
  </si>
  <si>
    <t>South Georgia and South
Sandwich Islands</t>
  </si>
  <si>
    <t>QG</t>
  </si>
  <si>
    <t>Drum, plastic, removable head</t>
  </si>
  <si>
    <t>894</t>
  </si>
  <si>
    <t>French Southern Territories</t>
  </si>
  <si>
    <t>QH</t>
  </si>
  <si>
    <t>Barrel, wooden, bung type</t>
  </si>
  <si>
    <t>958</t>
  </si>
  <si>
    <t>UNKNOWN TERRITORIES</t>
  </si>
  <si>
    <t>QJ</t>
  </si>
  <si>
    <t>Barrel, wooden, removable head</t>
  </si>
  <si>
    <t>QK</t>
  </si>
  <si>
    <t>Jerrycan, steel, non-removable head</t>
  </si>
  <si>
    <t>QL</t>
  </si>
  <si>
    <t>Jerrycan, steel, removable head</t>
  </si>
  <si>
    <t>QM</t>
  </si>
  <si>
    <t>Jerrycan, plastic, non-removable head</t>
  </si>
  <si>
    <t>QN</t>
  </si>
  <si>
    <t>Jerrycan, plastic, removable head</t>
  </si>
  <si>
    <t>QP</t>
  </si>
  <si>
    <t>Box, wooden, natural wood, ordinary</t>
  </si>
  <si>
    <t>QQ</t>
  </si>
  <si>
    <t>Box, wooden, natural wood, with sift proof walls</t>
  </si>
  <si>
    <t>QR</t>
  </si>
  <si>
    <t>Box, plastic, expanded</t>
  </si>
  <si>
    <t>QS</t>
  </si>
  <si>
    <t>Box, plastic, solid</t>
  </si>
  <si>
    <t>RD</t>
  </si>
  <si>
    <t>Rod</t>
  </si>
  <si>
    <t>RG</t>
  </si>
  <si>
    <t>Ring</t>
  </si>
  <si>
    <t>RJ</t>
  </si>
  <si>
    <t>Rack, clothing hanger</t>
  </si>
  <si>
    <t>RK</t>
  </si>
  <si>
    <t>Rack</t>
  </si>
  <si>
    <t>RL</t>
  </si>
  <si>
    <t>Reel</t>
  </si>
  <si>
    <t>Roll</t>
  </si>
  <si>
    <t>RT</t>
  </si>
  <si>
    <t>Rednet</t>
  </si>
  <si>
    <t>RZ</t>
  </si>
  <si>
    <t>Rods, in bundle/bunch/truss</t>
  </si>
  <si>
    <t>Sack</t>
  </si>
  <si>
    <t>Slab</t>
  </si>
  <si>
    <t>Shallow crate</t>
  </si>
  <si>
    <t>Spindle</t>
  </si>
  <si>
    <t>Sea-chest</t>
  </si>
  <si>
    <t>Sachet</t>
  </si>
  <si>
    <t>Skid</t>
  </si>
  <si>
    <t>Skeleton case</t>
  </si>
  <si>
    <t>Slipsheet</t>
  </si>
  <si>
    <t>Sheetmetal</t>
  </si>
  <si>
    <t>Spool</t>
  </si>
  <si>
    <t>SP</t>
  </si>
  <si>
    <t>Sheet, plastic wrapping</t>
  </si>
  <si>
    <t>Case, steel</t>
  </si>
  <si>
    <t>Sheet</t>
  </si>
  <si>
    <t>SU</t>
  </si>
  <si>
    <t>Suitcase</t>
  </si>
  <si>
    <t>Envelope, steel</t>
  </si>
  <si>
    <t>SW</t>
  </si>
  <si>
    <t>Shrinkwrapped</t>
  </si>
  <si>
    <t>Set</t>
  </si>
  <si>
    <t>Sleeve</t>
  </si>
  <si>
    <t>Sheets, in bundle/bunch/truss</t>
  </si>
  <si>
    <t>T1</t>
  </si>
  <si>
    <t>Comprimido (tablet)</t>
  </si>
  <si>
    <t>TB</t>
  </si>
  <si>
    <t>Tub</t>
  </si>
  <si>
    <t>Tea-chest</t>
  </si>
  <si>
    <t>Tube, collapsible/Collapsible tube</t>
  </si>
  <si>
    <t>TE</t>
  </si>
  <si>
    <t>Neumático</t>
  </si>
  <si>
    <t>Tanque contenedor genérico</t>
  </si>
  <si>
    <t>TI</t>
  </si>
  <si>
    <t>Tierce</t>
  </si>
  <si>
    <t>Tank, rectangular</t>
  </si>
  <si>
    <t>Tub, with lid</t>
  </si>
  <si>
    <t>Tin</t>
  </si>
  <si>
    <t>Tun</t>
  </si>
  <si>
    <t>Trunk</t>
  </si>
  <si>
    <t>TS</t>
  </si>
  <si>
    <t>Truss</t>
  </si>
  <si>
    <t>Saco o cesta (bag tote)</t>
  </si>
  <si>
    <t>TU</t>
  </si>
  <si>
    <t>Tube</t>
  </si>
  <si>
    <t>Tube, with nozzle</t>
  </si>
  <si>
    <t>Paleta de cartón ondulado</t>
  </si>
  <si>
    <t>TY</t>
  </si>
  <si>
    <t>Tank, cylindrical</t>
  </si>
  <si>
    <t>Tube, in bundle/bunch/truss</t>
  </si>
  <si>
    <t>UC</t>
  </si>
  <si>
    <t>Uncaged</t>
  </si>
  <si>
    <t>UN</t>
  </si>
  <si>
    <t>Unidad</t>
  </si>
  <si>
    <t>Vat</t>
  </si>
  <si>
    <t>Bulk, gas (at 1031 mbar and 15°C)</t>
  </si>
  <si>
    <t>Vial</t>
  </si>
  <si>
    <t>VK</t>
  </si>
  <si>
    <t>Vanpack</t>
  </si>
  <si>
    <t>VL</t>
  </si>
  <si>
    <t>Bulk, liquid</t>
  </si>
  <si>
    <t>Vehículo</t>
  </si>
  <si>
    <t>VO</t>
  </si>
  <si>
    <t>Bulk, solid, large particles ("nodules")</t>
  </si>
  <si>
    <t>VP</t>
  </si>
  <si>
    <t>Vacuum-packed</t>
  </si>
  <si>
    <t>VQ</t>
  </si>
  <si>
    <t>Bulk, liquefied gas at abnormal temperature</t>
  </si>
  <si>
    <t>VR</t>
  </si>
  <si>
    <t>Bulk, solid, granulated particles ("grains")</t>
  </si>
  <si>
    <t>VS</t>
  </si>
  <si>
    <t>Chatarra a granel</t>
  </si>
  <si>
    <t>VY</t>
  </si>
  <si>
    <t>Bulk, solid, fine particles ("powders")</t>
  </si>
  <si>
    <t>WA</t>
  </si>
  <si>
    <t>Intermediate bulk container</t>
  </si>
  <si>
    <t>WB</t>
  </si>
  <si>
    <t>Wicker bottle</t>
  </si>
  <si>
    <t>WC</t>
  </si>
  <si>
    <t>Intermediate bulk container, steel</t>
  </si>
  <si>
    <t>WD</t>
  </si>
  <si>
    <t>Intermediate bulk container, aluminium</t>
  </si>
  <si>
    <t>Intermediate bulk container, metal</t>
  </si>
  <si>
    <t>WG</t>
  </si>
  <si>
    <t>Intermediate bulk container, steel, pressurised &gt; 10 kPa</t>
  </si>
  <si>
    <t>WH</t>
  </si>
  <si>
    <t>Intermediate bulk container, aluminium, pressurised &gt; 10 kPa</t>
  </si>
  <si>
    <t>WJ</t>
  </si>
  <si>
    <t>Intermediate bulk container, metal, pressure 10 kPa</t>
  </si>
  <si>
    <t>WK</t>
  </si>
  <si>
    <t>Intermediate bulk container, steel, liquid</t>
  </si>
  <si>
    <t>WL</t>
  </si>
  <si>
    <t>Intermediate bulk container, aluminium, liquid</t>
  </si>
  <si>
    <t>WM</t>
  </si>
  <si>
    <t>Intermediate bulk container, metal, liquid</t>
  </si>
  <si>
    <t>WN</t>
  </si>
  <si>
    <t>Intermediate bulk container, woven plastic, without coat/liner</t>
  </si>
  <si>
    <t>WP</t>
  </si>
  <si>
    <t>Intermediate bulk container, woven plastic, coated</t>
  </si>
  <si>
    <t>WQ</t>
  </si>
  <si>
    <t>Intermediate bulk container, woven plastic, with liner</t>
  </si>
  <si>
    <t>WR</t>
  </si>
  <si>
    <t>Intermediate bulk container, woven plastic, coated and liner</t>
  </si>
  <si>
    <t>Intermediate bulk container, plastic film</t>
  </si>
  <si>
    <t>WT</t>
  </si>
  <si>
    <t>Intermediate bulk container, textile without coat/liner</t>
  </si>
  <si>
    <t>WU</t>
  </si>
  <si>
    <t>Intermediate bulk container, natural wood, with inner liner</t>
  </si>
  <si>
    <t>WV</t>
  </si>
  <si>
    <t>Intermediate bulk container, textile, coated</t>
  </si>
  <si>
    <t>WW</t>
  </si>
  <si>
    <t>Intermediate bulk container, textile, with liner</t>
  </si>
  <si>
    <t>WX</t>
  </si>
  <si>
    <t>Intermediate bulk container, textile, coated and liner</t>
  </si>
  <si>
    <t>WY</t>
  </si>
  <si>
    <t>Intermediate bulk container, plywood, with inner liner</t>
  </si>
  <si>
    <t>WZ</t>
  </si>
  <si>
    <t>Intermediate bulk container, reconstituted wood, with inner liner</t>
  </si>
  <si>
    <t>XA</t>
  </si>
  <si>
    <t>Bag, woven plastic, without inner coat/liner</t>
  </si>
  <si>
    <t>XB</t>
  </si>
  <si>
    <t>Bag, woven plastic, sift proof</t>
  </si>
  <si>
    <t>Bag, woven plastic, water resistant</t>
  </si>
  <si>
    <t>XD</t>
  </si>
  <si>
    <t>Bag, plastics film</t>
  </si>
  <si>
    <t>XF</t>
  </si>
  <si>
    <t>Bag, textile, without inner coat/liner</t>
  </si>
  <si>
    <t>XG</t>
  </si>
  <si>
    <t>Bag, textile, sift proof</t>
  </si>
  <si>
    <t>XH</t>
  </si>
  <si>
    <t>Bag, textile, water resistant</t>
  </si>
  <si>
    <t>XJ</t>
  </si>
  <si>
    <t>Bag, paper, multi-wall</t>
  </si>
  <si>
    <t>Bag, paper, multi-wall, water resistant</t>
  </si>
  <si>
    <t>YA</t>
  </si>
  <si>
    <t>Composite packaging, plastic receptacle in steel drum</t>
  </si>
  <si>
    <t>YB</t>
  </si>
  <si>
    <t>Composite packaging, plastic receptacle in steel crate box</t>
  </si>
  <si>
    <t>YC</t>
  </si>
  <si>
    <t>Composite packaging, plastic receptacle in aluminium drum</t>
  </si>
  <si>
    <t>YD</t>
  </si>
  <si>
    <t>Composite packaging, plastic receptacle in aluminium crate</t>
  </si>
  <si>
    <t>YF</t>
  </si>
  <si>
    <t>Composite packaging, plastic receptacle in wooden box</t>
  </si>
  <si>
    <t>YG</t>
  </si>
  <si>
    <t>Composite packaging, plastic receptacle in plywood drum</t>
  </si>
  <si>
    <t>YH</t>
  </si>
  <si>
    <t>Composite packaging, plastic receptacle in plywood box</t>
  </si>
  <si>
    <t>YJ</t>
  </si>
  <si>
    <t>Composite packaging, plastic receptacle in fibre drum</t>
  </si>
  <si>
    <t>YK</t>
  </si>
  <si>
    <t>Composite packaging, plastic receptacle in fibreboard box</t>
  </si>
  <si>
    <t>YL</t>
  </si>
  <si>
    <t>Composite packaging, plastic receptacle in plastic drum</t>
  </si>
  <si>
    <t>YM</t>
  </si>
  <si>
    <t>Composite packaging, plastic receptacle in solid plastic box</t>
  </si>
  <si>
    <t>YN</t>
  </si>
  <si>
    <t>Composite packaging, glass receptacle in steel drum</t>
  </si>
  <si>
    <t>YP</t>
  </si>
  <si>
    <t>Composite packaging, glass receptacle in steel crate box</t>
  </si>
  <si>
    <t>YQ</t>
  </si>
  <si>
    <t>Composite packaging, glass receptacle in aluminium drum</t>
  </si>
  <si>
    <t>YR</t>
  </si>
  <si>
    <t>Composite packaging, glass receptacle in aluminium crate</t>
  </si>
  <si>
    <t>YS</t>
  </si>
  <si>
    <t>Composite packaging, glass receptacle in wooden box</t>
  </si>
  <si>
    <t>Composite packaging, glass receptacle in plywood drum</t>
  </si>
  <si>
    <t>YV</t>
  </si>
  <si>
    <t>Composite packaging, glass receptacle in wickerwork hamper</t>
  </si>
  <si>
    <t>YW</t>
  </si>
  <si>
    <t>Composite packaging, glass receptacle in fibre drum</t>
  </si>
  <si>
    <t>YX</t>
  </si>
  <si>
    <t>Composite packaging, glass receptacle in fibreboard box</t>
  </si>
  <si>
    <t>YY</t>
  </si>
  <si>
    <t>Composite packaging, glass receptacle in expandable plastic pack</t>
  </si>
  <si>
    <t>YZ</t>
  </si>
  <si>
    <t>Composite packaging, glass receptacle in solid plastic pack</t>
  </si>
  <si>
    <t>Intermediate bulk container, paper, multi-wall</t>
  </si>
  <si>
    <t>ZB</t>
  </si>
  <si>
    <t>Bag, large</t>
  </si>
  <si>
    <t>ZC</t>
  </si>
  <si>
    <t>Intermediate bulk container, paper, multi-wall, water resistant</t>
  </si>
  <si>
    <t>ZD</t>
  </si>
  <si>
    <t>Intermediate bulk container, rigid plastic, with structural equipment, solids</t>
  </si>
  <si>
    <t>ZF</t>
  </si>
  <si>
    <t>Intermediate bulk container, rigid plastic, freestanding, solids</t>
  </si>
  <si>
    <t>ZG</t>
  </si>
  <si>
    <t>Intermediate bulk container, rigid plastic, with structural equipment, pressurised</t>
  </si>
  <si>
    <t>ZH</t>
  </si>
  <si>
    <t>Intermediate bulk container, rigid plastic, freestanding, pressurised</t>
  </si>
  <si>
    <t>ZJ</t>
  </si>
  <si>
    <t>Intermediate bulk container, rigid plastic, with structural equipment, liquids</t>
  </si>
  <si>
    <t>ZK</t>
  </si>
  <si>
    <t>Intermediate bulk container, rigid plastic, freestanding, liquids</t>
  </si>
  <si>
    <t>ZL</t>
  </si>
  <si>
    <t>Intermediate bulk container, composite, rigid plastic, solids</t>
  </si>
  <si>
    <t>Intermediate bulk container, composite, flexible plastic, solids</t>
  </si>
  <si>
    <t>ZN</t>
  </si>
  <si>
    <t>Intermediate bulk container, composite, rigid plastic, pressurised</t>
  </si>
  <si>
    <t>ZP</t>
  </si>
  <si>
    <t>Intermediate bulk container, composite, flexible plastic, pressurised</t>
  </si>
  <si>
    <t>ZQ</t>
  </si>
  <si>
    <t>Intermediate bulk container, composite, rigid plastic, liquids</t>
  </si>
  <si>
    <t>ZR</t>
  </si>
  <si>
    <t>Intermediate bulk container, composite, flexible plastic, liquids</t>
  </si>
  <si>
    <t>ZS</t>
  </si>
  <si>
    <t>Intermediate bulk container, composite</t>
  </si>
  <si>
    <t>ZT</t>
  </si>
  <si>
    <t>Intermediate bulk container, fibreboard</t>
  </si>
  <si>
    <t>ZU</t>
  </si>
  <si>
    <t>Intermediate bulk container, flexible</t>
  </si>
  <si>
    <t>ZV</t>
  </si>
  <si>
    <t>Intermediate bulk container, metal, other than steel</t>
  </si>
  <si>
    <t>Intermediate bulk container, natural wood</t>
  </si>
  <si>
    <t>ZX</t>
  </si>
  <si>
    <t>Intermediate bulk container, plywood</t>
  </si>
  <si>
    <t>ZY</t>
  </si>
  <si>
    <t>Intermediate bulk container, reconstituted wood</t>
  </si>
  <si>
    <t>ZZ</t>
  </si>
  <si>
    <t>Mutually 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</si>
</sst>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charset val="134"/>
    </font>
    <font>
      <sz val="11"/>
      <color indexed="8"/>
      <name val="Calibri"/>
      <charset val="134"/>
      <scheme val="minor"/>
    </font>
    <font>
      <b/>
      <sz val="10"/>
      <name val="Arial"/>
      <charset val="134"/>
    </font>
    <font>
      <b/>
      <sz val="11"/>
      <color theme="1"/>
      <name val="Calibri"/>
      <charset val="162"/>
      <scheme val="minor"/>
    </font>
    <font>
      <b/>
      <sz val="11"/>
      <color indexed="8"/>
      <name val="Calibri"/>
      <charset val="134"/>
    </font>
    <font>
      <sz val="11"/>
      <name val="Calibri"/>
      <charset val="134"/>
      <scheme val="minor"/>
    </font>
    <font>
      <sz val="8.5"/>
      <color rgb="FF000000"/>
      <name val="Arial"/>
      <charset val="134"/>
    </font>
    <font>
      <sz val="11"/>
      <color theme="1"/>
      <name val="Calibri"/>
      <charset val="162"/>
      <scheme val="minor"/>
    </font>
    <font>
      <sz val="11"/>
      <color indexed="8"/>
      <name val="Calibri"/>
      <charset val="134"/>
    </font>
    <font>
      <sz val="12"/>
      <color rgb="FF000000"/>
      <name val="Times New Roman"/>
      <charset val="134"/>
    </font>
    <font>
      <sz val="12"/>
      <color theme="1"/>
      <name val="Times New Roman"/>
      <charset val="134"/>
    </font>
    <font>
      <b/>
      <sz val="11"/>
      <name val="Calibri"/>
      <charset val="134"/>
    </font>
  </fonts>
  <fills count="30">
    <fill>
      <patternFill patternType="none"/>
    </fill>
    <fill>
      <patternFill patternType="gray125"/>
    </fill>
    <fill>
      <patternFill patternType="solid">
        <fgColor theme="9" tint="0.39991454817346722"/>
        <bgColor indexed="64"/>
      </patternFill>
    </fill>
    <fill>
      <patternFill patternType="solid">
        <fgColor rgb="FF92D050"/>
        <bgColor indexed="64"/>
      </patternFill>
    </fill>
    <fill>
      <patternFill patternType="solid">
        <fgColor rgb="FFFF6600"/>
        <bgColor indexed="64"/>
      </patternFill>
    </fill>
    <fill>
      <patternFill patternType="solid">
        <fgColor theme="8" tint="-0.249977111117893"/>
        <bgColor indexed="64"/>
      </patternFill>
    </fill>
    <fill>
      <patternFill patternType="solid">
        <fgColor indexed="13"/>
        <bgColor indexed="64"/>
      </patternFill>
    </fill>
    <fill>
      <patternFill patternType="solid">
        <fgColor theme="9" tint="-0.249977111117893"/>
        <bgColor indexed="64"/>
      </patternFill>
    </fill>
    <fill>
      <patternFill patternType="solid">
        <fgColor indexed="17"/>
        <bgColor indexed="64"/>
      </patternFill>
    </fill>
    <fill>
      <patternFill patternType="solid">
        <fgColor theme="3" tint="0.39991454817346722"/>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rgb="FF00B050"/>
        <bgColor indexed="64"/>
      </patternFill>
    </fill>
    <fill>
      <patternFill patternType="solid">
        <fgColor rgb="FF0070C0"/>
        <bgColor indexed="64"/>
      </patternFill>
    </fill>
    <fill>
      <patternFill patternType="solid">
        <fgColor rgb="FFFFFF00"/>
        <bgColor indexed="64"/>
      </patternFill>
    </fill>
    <fill>
      <patternFill patternType="solid">
        <fgColor theme="5" tint="0.39991454817346722"/>
        <bgColor indexed="64"/>
      </patternFill>
    </fill>
    <fill>
      <patternFill patternType="solid">
        <fgColor indexed="50"/>
        <bgColor indexed="64"/>
      </patternFill>
    </fill>
    <fill>
      <patternFill patternType="solid">
        <fgColor indexed="49"/>
        <bgColor indexed="64"/>
      </patternFill>
    </fill>
    <fill>
      <patternFill patternType="solid">
        <fgColor rgb="FF008000"/>
        <bgColor indexed="64"/>
      </patternFill>
    </fill>
    <fill>
      <patternFill patternType="solid">
        <fgColor theme="5"/>
        <bgColor indexed="64"/>
      </patternFill>
    </fill>
    <fill>
      <patternFill patternType="solid">
        <fgColor indexed="53"/>
        <bgColor indexed="64"/>
      </patternFill>
    </fill>
    <fill>
      <patternFill patternType="solid">
        <fgColor indexed="42"/>
        <bgColor indexed="64"/>
      </patternFill>
    </fill>
    <fill>
      <patternFill patternType="solid">
        <fgColor indexed="31"/>
        <bgColor indexed="64"/>
      </patternFill>
    </fill>
    <fill>
      <patternFill patternType="solid">
        <fgColor indexed="48"/>
        <bgColor indexed="64"/>
      </patternFill>
    </fill>
    <fill>
      <patternFill patternType="solid">
        <fgColor rgb="FF31869B"/>
        <bgColor indexed="64"/>
      </patternFill>
    </fill>
    <fill>
      <patternFill patternType="solid">
        <fgColor rgb="FFFFC000"/>
        <bgColor indexed="64"/>
      </patternFill>
    </fill>
    <fill>
      <patternFill patternType="solid">
        <fgColor indexed="22"/>
        <bgColor indexed="64"/>
      </patternFill>
    </fill>
    <fill>
      <patternFill patternType="solid">
        <fgColor indexed="47"/>
        <bgColor indexed="64"/>
      </patternFill>
    </fill>
    <fill>
      <patternFill patternType="solid">
        <fgColor rgb="FFDAEEF3"/>
        <bgColor indexed="64"/>
      </patternFill>
    </fill>
    <fill>
      <patternFill patternType="solid">
        <fgColor rgb="FFFDE9D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indexed="8"/>
      </left>
      <right style="thin">
        <color indexed="8"/>
      </right>
      <top/>
      <bottom/>
      <diagonal/>
    </border>
    <border>
      <left style="thin">
        <color indexed="8"/>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style="thin">
        <color indexed="8"/>
      </right>
      <top/>
      <bottom/>
      <diagonal/>
    </border>
    <border>
      <left style="thin">
        <color indexed="8"/>
      </left>
      <right style="thin">
        <color indexed="8"/>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diagonal/>
    </border>
  </borders>
  <cellStyleXfs count="2">
    <xf numFmtId="0" fontId="0" fillId="0" borderId="0" applyNumberFormat="0" applyFont="0" applyFill="0" applyBorder="0" applyAlignment="0" applyProtection="0"/>
    <xf numFmtId="0" fontId="1" fillId="0" borderId="0"/>
  </cellStyleXfs>
  <cellXfs count="139">
    <xf numFmtId="0" fontId="0" fillId="0" borderId="0" xfId="0" applyNumberFormat="1" applyFont="1" applyFill="1" applyBorder="1" applyAlignment="1"/>
    <xf numFmtId="0" fontId="0" fillId="2" borderId="0" xfId="0" applyNumberFormat="1" applyFont="1" applyFill="1" applyBorder="1" applyAlignment="1">
      <alignment wrapText="1"/>
    </xf>
    <xf numFmtId="0" fontId="0" fillId="3" borderId="0" xfId="0" applyNumberFormat="1" applyFont="1" applyFill="1" applyBorder="1" applyAlignment="1">
      <alignment wrapText="1"/>
    </xf>
    <xf numFmtId="0" fontId="0" fillId="0" borderId="0" xfId="0" applyNumberFormat="1" applyFont="1" applyFill="1" applyBorder="1" applyAlignment="1">
      <alignment wrapText="1"/>
    </xf>
    <xf numFmtId="0" fontId="0" fillId="4" borderId="0" xfId="0" applyNumberFormat="1" applyFont="1" applyFill="1" applyBorder="1" applyAlignment="1">
      <alignment wrapText="1"/>
    </xf>
    <xf numFmtId="0" fontId="0" fillId="5" borderId="0" xfId="0" applyNumberFormat="1" applyFont="1" applyFill="1" applyBorder="1" applyAlignment="1">
      <alignment wrapText="1"/>
    </xf>
    <xf numFmtId="0" fontId="0" fillId="6" borderId="0" xfId="0" applyNumberFormat="1" applyFont="1" applyFill="1" applyBorder="1" applyAlignment="1">
      <alignment wrapText="1"/>
    </xf>
    <xf numFmtId="0" fontId="0" fillId="7" borderId="0" xfId="0" applyNumberFormat="1" applyFont="1" applyFill="1" applyBorder="1" applyAlignment="1">
      <alignment wrapText="1"/>
    </xf>
    <xf numFmtId="49" fontId="0" fillId="0" borderId="0" xfId="0" applyNumberFormat="1" applyFont="1" applyFill="1" applyBorder="1" applyAlignment="1">
      <alignment wrapText="1"/>
    </xf>
    <xf numFmtId="49" fontId="0" fillId="0" borderId="0" xfId="0" applyNumberFormat="1"/>
    <xf numFmtId="0" fontId="0" fillId="0" borderId="0" xfId="0"/>
    <xf numFmtId="49" fontId="1" fillId="2" borderId="1" xfId="1" applyNumberFormat="1" applyFill="1" applyBorder="1" applyAlignment="1">
      <alignment wrapText="1"/>
    </xf>
    <xf numFmtId="49" fontId="1" fillId="3" borderId="2" xfId="1" applyNumberFormat="1" applyFill="1" applyBorder="1" applyAlignment="1">
      <alignment wrapText="1"/>
    </xf>
    <xf numFmtId="49" fontId="1" fillId="4" borderId="2" xfId="1" applyNumberFormat="1" applyFill="1" applyBorder="1" applyAlignment="1">
      <alignment wrapText="1"/>
    </xf>
    <xf numFmtId="49" fontId="1" fillId="5" borderId="2" xfId="1" applyNumberFormat="1" applyFill="1" applyBorder="1"/>
    <xf numFmtId="49" fontId="1" fillId="6" borderId="2" xfId="1" applyNumberFormat="1" applyFill="1" applyBorder="1"/>
    <xf numFmtId="49" fontId="1" fillId="8" borderId="2" xfId="1" applyNumberFormat="1" applyFill="1" applyBorder="1"/>
    <xf numFmtId="49" fontId="1" fillId="9" borderId="2" xfId="1" applyNumberFormat="1" applyFill="1" applyBorder="1"/>
    <xf numFmtId="0" fontId="0" fillId="7" borderId="1" xfId="0" applyNumberFormat="1" applyFont="1" applyFill="1" applyBorder="1" applyAlignment="1">
      <alignment wrapText="1"/>
    </xf>
    <xf numFmtId="49" fontId="1" fillId="7" borderId="2" xfId="1" applyNumberFormat="1" applyFill="1" applyBorder="1" applyAlignment="1">
      <alignment wrapText="1"/>
    </xf>
    <xf numFmtId="0" fontId="2" fillId="10" borderId="0" xfId="0" applyFont="1" applyFill="1"/>
    <xf numFmtId="49" fontId="2" fillId="11" borderId="1" xfId="0" applyNumberFormat="1" applyFont="1" applyFill="1" applyBorder="1" applyAlignment="1">
      <alignment wrapText="1"/>
    </xf>
    <xf numFmtId="0" fontId="2" fillId="11" borderId="1" xfId="0" applyFont="1" applyFill="1" applyBorder="1" applyAlignment="1">
      <alignment wrapText="1"/>
    </xf>
    <xf numFmtId="49" fontId="3" fillId="9" borderId="0" xfId="0" applyNumberFormat="1" applyFont="1" applyFill="1"/>
    <xf numFmtId="0" fontId="3" fillId="9" borderId="0" xfId="0" applyFont="1" applyFill="1"/>
    <xf numFmtId="49" fontId="3" fillId="12" borderId="1" xfId="0" applyNumberFormat="1" applyFont="1" applyFill="1" applyBorder="1"/>
    <xf numFmtId="0" fontId="3" fillId="12" borderId="1" xfId="0" applyFont="1" applyFill="1" applyBorder="1"/>
    <xf numFmtId="49" fontId="4" fillId="13" borderId="3" xfId="0" applyNumberFormat="1" applyFont="1" applyFill="1" applyBorder="1"/>
    <xf numFmtId="0" fontId="4" fillId="13" borderId="3" xfId="0" applyFont="1" applyFill="1" applyBorder="1"/>
    <xf numFmtId="0" fontId="4" fillId="13" borderId="1" xfId="0" applyFont="1" applyFill="1" applyBorder="1"/>
    <xf numFmtId="49" fontId="4" fillId="14" borderId="3" xfId="0" applyNumberFormat="1" applyFont="1" applyFill="1" applyBorder="1"/>
    <xf numFmtId="0" fontId="4" fillId="14" borderId="3" xfId="0" applyFont="1" applyFill="1" applyBorder="1"/>
    <xf numFmtId="0" fontId="4" fillId="14" borderId="1" xfId="0" applyFont="1" applyFill="1" applyBorder="1"/>
    <xf numFmtId="49" fontId="4" fillId="15" borderId="3" xfId="0" applyNumberFormat="1" applyFont="1" applyFill="1" applyBorder="1"/>
    <xf numFmtId="0" fontId="4" fillId="15" borderId="3" xfId="0" applyFont="1" applyFill="1" applyBorder="1"/>
    <xf numFmtId="0" fontId="4" fillId="15" borderId="1" xfId="0" applyFont="1" applyFill="1" applyBorder="1"/>
    <xf numFmtId="49" fontId="1" fillId="2" borderId="4" xfId="1" applyNumberFormat="1" applyFill="1" applyBorder="1" applyAlignment="1">
      <alignment wrapText="1"/>
    </xf>
    <xf numFmtId="0" fontId="0" fillId="2" borderId="4" xfId="0" applyFill="1" applyBorder="1" applyAlignment="1">
      <alignment wrapText="1"/>
    </xf>
    <xf numFmtId="49" fontId="1" fillId="2" borderId="5" xfId="1" applyNumberFormat="1" applyFill="1" applyBorder="1" applyAlignment="1">
      <alignment wrapText="1"/>
    </xf>
    <xf numFmtId="49" fontId="1" fillId="16" borderId="6" xfId="1" applyNumberFormat="1" applyFill="1" applyBorder="1" applyAlignment="1">
      <alignment wrapText="1"/>
    </xf>
    <xf numFmtId="49" fontId="1" fillId="3" borderId="6" xfId="1" applyNumberFormat="1" applyFill="1" applyBorder="1" applyAlignment="1">
      <alignment wrapText="1"/>
    </xf>
    <xf numFmtId="49" fontId="1" fillId="4" borderId="6" xfId="1" applyNumberFormat="1" applyFill="1" applyBorder="1" applyAlignment="1">
      <alignment wrapText="1"/>
    </xf>
    <xf numFmtId="0" fontId="5" fillId="4" borderId="0" xfId="0" applyNumberFormat="1" applyFont="1" applyFill="1" applyBorder="1" applyAlignment="1">
      <alignment wrapText="1"/>
    </xf>
    <xf numFmtId="0" fontId="0" fillId="17" borderId="0" xfId="0" applyNumberFormat="1" applyFont="1" applyFill="1" applyBorder="1" applyAlignment="1">
      <alignment wrapText="1"/>
    </xf>
    <xf numFmtId="49" fontId="1" fillId="17" borderId="6" xfId="1" applyNumberFormat="1" applyFill="1" applyBorder="1"/>
    <xf numFmtId="0" fontId="0" fillId="17" borderId="7" xfId="0" applyNumberFormat="1" applyFont="1" applyFill="1" applyBorder="1" applyAlignment="1">
      <alignment wrapText="1"/>
    </xf>
    <xf numFmtId="49" fontId="1" fillId="6" borderId="6" xfId="1" applyNumberFormat="1" applyFill="1" applyBorder="1"/>
    <xf numFmtId="49" fontId="1" fillId="8" borderId="6" xfId="1" applyNumberFormat="1" applyFill="1" applyBorder="1"/>
    <xf numFmtId="49" fontId="1" fillId="18" borderId="6" xfId="1" applyNumberFormat="1" applyFill="1" applyBorder="1"/>
    <xf numFmtId="49" fontId="1" fillId="9" borderId="6" xfId="1" applyNumberFormat="1" applyFill="1" applyBorder="1"/>
    <xf numFmtId="0" fontId="0" fillId="7" borderId="8" xfId="0" applyNumberFormat="1" applyFont="1" applyFill="1" applyBorder="1" applyAlignment="1">
      <alignment wrapText="1"/>
    </xf>
    <xf numFmtId="49" fontId="1" fillId="0" borderId="6" xfId="1" applyNumberFormat="1" applyBorder="1"/>
    <xf numFmtId="49" fontId="1" fillId="19" borderId="6" xfId="1" applyNumberFormat="1" applyFill="1" applyBorder="1"/>
    <xf numFmtId="49" fontId="1" fillId="20" borderId="6" xfId="1" applyNumberFormat="1" applyFill="1" applyBorder="1" applyAlignment="1">
      <alignment wrapText="1"/>
    </xf>
    <xf numFmtId="0" fontId="6" fillId="10" borderId="1" xfId="0" applyFont="1" applyFill="1" applyBorder="1" applyAlignment="1">
      <alignment vertical="center" wrapText="1"/>
    </xf>
    <xf numFmtId="0" fontId="0" fillId="10" borderId="1" xfId="0" applyFill="1" applyBorder="1" applyAlignment="1">
      <alignment wrapText="1"/>
    </xf>
    <xf numFmtId="49" fontId="0" fillId="11" borderId="1" xfId="0" applyNumberFormat="1" applyFont="1" applyFill="1" applyBorder="1" applyAlignment="1">
      <alignment wrapText="1"/>
    </xf>
    <xf numFmtId="0" fontId="0" fillId="11" borderId="1" xfId="0" applyFill="1" applyBorder="1" applyAlignment="1">
      <alignment wrapText="1"/>
    </xf>
    <xf numFmtId="49" fontId="7" fillId="9" borderId="1" xfId="0" applyNumberFormat="1" applyFont="1" applyFill="1" applyBorder="1" applyAlignment="1">
      <alignment vertical="center" wrapText="1"/>
    </xf>
    <xf numFmtId="0" fontId="7" fillId="9" borderId="1" xfId="0" applyFont="1" applyFill="1" applyBorder="1" applyAlignment="1">
      <alignment vertical="center" wrapText="1"/>
    </xf>
    <xf numFmtId="0" fontId="0" fillId="9" borderId="1" xfId="0" applyFill="1" applyBorder="1" applyAlignment="1">
      <alignment wrapText="1"/>
    </xf>
    <xf numFmtId="49" fontId="0" fillId="12" borderId="1" xfId="0" applyNumberFormat="1" applyFill="1" applyBorder="1"/>
    <xf numFmtId="0" fontId="0" fillId="12" borderId="1" xfId="0" applyFill="1" applyBorder="1"/>
    <xf numFmtId="0" fontId="0" fillId="12" borderId="1" xfId="0" applyFill="1" applyBorder="1" applyAlignment="1">
      <alignment wrapText="1"/>
    </xf>
    <xf numFmtId="49" fontId="8" fillId="13" borderId="9" xfId="0" applyNumberFormat="1" applyFont="1" applyFill="1" applyBorder="1" applyAlignment="1">
      <alignment vertical="center" wrapText="1"/>
    </xf>
    <xf numFmtId="0" fontId="8" fillId="13" borderId="9" xfId="0" applyFont="1" applyFill="1" applyBorder="1" applyAlignment="1">
      <alignment vertical="center" wrapText="1"/>
    </xf>
    <xf numFmtId="0" fontId="0" fillId="13" borderId="8" xfId="0" applyFill="1" applyBorder="1" applyAlignment="1">
      <alignment wrapText="1"/>
    </xf>
    <xf numFmtId="49" fontId="8" fillId="14" borderId="9" xfId="0" applyNumberFormat="1" applyFont="1" applyFill="1" applyBorder="1" applyAlignment="1">
      <alignment vertical="center" wrapText="1"/>
    </xf>
    <xf numFmtId="0" fontId="8" fillId="14" borderId="9" xfId="0" applyFont="1" applyFill="1" applyBorder="1" applyAlignment="1">
      <alignment vertical="center" wrapText="1"/>
    </xf>
    <xf numFmtId="0" fontId="0" fillId="14" borderId="8" xfId="0" applyFill="1" applyBorder="1" applyAlignment="1">
      <alignment wrapText="1"/>
    </xf>
    <xf numFmtId="49" fontId="8" fillId="15" borderId="9" xfId="0" applyNumberFormat="1" applyFont="1" applyFill="1" applyBorder="1" applyAlignment="1">
      <alignment vertical="center" wrapText="1"/>
    </xf>
    <xf numFmtId="0" fontId="8" fillId="15" borderId="9" xfId="0" applyFont="1" applyFill="1" applyBorder="1" applyAlignment="1">
      <alignment vertical="center" wrapText="1"/>
    </xf>
    <xf numFmtId="0" fontId="0" fillId="15" borderId="8" xfId="0" applyFill="1" applyBorder="1" applyAlignment="1">
      <alignment wrapText="1"/>
    </xf>
    <xf numFmtId="49" fontId="1" fillId="2" borderId="9" xfId="1" applyNumberFormat="1" applyFill="1" applyBorder="1" applyAlignment="1">
      <alignment wrapText="1"/>
    </xf>
    <xf numFmtId="0" fontId="0" fillId="2" borderId="9" xfId="0" applyFill="1" applyBorder="1" applyAlignment="1">
      <alignment wrapText="1"/>
    </xf>
    <xf numFmtId="49" fontId="1" fillId="2" borderId="8" xfId="1" applyNumberFormat="1" applyFill="1" applyBorder="1" applyAlignment="1">
      <alignment wrapText="1"/>
    </xf>
    <xf numFmtId="0" fontId="0" fillId="7" borderId="10" xfId="0" applyNumberFormat="1" applyFont="1" applyFill="1" applyBorder="1" applyAlignment="1">
      <alignment wrapText="1"/>
    </xf>
    <xf numFmtId="0" fontId="0" fillId="13" borderId="9" xfId="0" applyFill="1" applyBorder="1" applyAlignment="1">
      <alignment wrapText="1"/>
    </xf>
    <xf numFmtId="0" fontId="0" fillId="14" borderId="9" xfId="0" applyFill="1" applyBorder="1" applyAlignment="1">
      <alignment wrapText="1"/>
    </xf>
    <xf numFmtId="0" fontId="0" fillId="15" borderId="9" xfId="0" applyFill="1" applyBorder="1" applyAlignment="1">
      <alignment wrapText="1"/>
    </xf>
    <xf numFmtId="49" fontId="1" fillId="6" borderId="6" xfId="1" applyNumberFormat="1" applyFill="1" applyBorder="1" applyAlignment="1">
      <alignment wrapText="1"/>
    </xf>
    <xf numFmtId="49" fontId="1" fillId="8" borderId="11" xfId="1" applyNumberFormat="1" applyFill="1" applyBorder="1"/>
    <xf numFmtId="49" fontId="1" fillId="9" borderId="12" xfId="1" applyNumberFormat="1" applyFill="1" applyBorder="1"/>
    <xf numFmtId="49" fontId="1" fillId="8" borderId="12" xfId="1" applyNumberFormat="1" applyFill="1" applyBorder="1"/>
    <xf numFmtId="49" fontId="1" fillId="18" borderId="12" xfId="1" applyNumberFormat="1" applyFill="1" applyBorder="1"/>
    <xf numFmtId="49" fontId="8" fillId="14" borderId="13" xfId="0" applyNumberFormat="1" applyFont="1" applyFill="1" applyBorder="1" applyAlignment="1">
      <alignment vertical="center" wrapText="1"/>
    </xf>
    <xf numFmtId="0" fontId="0" fillId="14" borderId="13" xfId="0" applyFill="1" applyBorder="1" applyAlignment="1">
      <alignment wrapText="1"/>
    </xf>
    <xf numFmtId="0" fontId="0" fillId="14" borderId="10" xfId="0" applyFill="1" applyBorder="1" applyAlignment="1">
      <alignment wrapText="1"/>
    </xf>
    <xf numFmtId="0" fontId="0" fillId="15" borderId="9" xfId="0" applyNumberFormat="1" applyFont="1" applyFill="1" applyBorder="1" applyAlignment="1">
      <alignment wrapText="1"/>
    </xf>
    <xf numFmtId="0" fontId="0" fillId="13" borderId="9" xfId="0" applyNumberFormat="1" applyFont="1" applyFill="1" applyBorder="1" applyAlignment="1">
      <alignment wrapText="1"/>
    </xf>
    <xf numFmtId="0" fontId="0" fillId="17" borderId="8" xfId="0" applyNumberFormat="1" applyFont="1" applyFill="1" applyBorder="1" applyAlignment="1">
      <alignment wrapText="1"/>
    </xf>
    <xf numFmtId="49" fontId="1" fillId="6" borderId="12" xfId="1" applyNumberFormat="1" applyFill="1" applyBorder="1" applyAlignment="1">
      <alignment wrapText="1"/>
    </xf>
    <xf numFmtId="49" fontId="1" fillId="6" borderId="12" xfId="1" applyNumberFormat="1" applyFill="1" applyBorder="1"/>
    <xf numFmtId="49" fontId="1" fillId="4" borderId="12" xfId="1" applyNumberFormat="1" applyFill="1" applyBorder="1" applyAlignment="1">
      <alignment wrapText="1"/>
    </xf>
    <xf numFmtId="0" fontId="5" fillId="4" borderId="14" xfId="0" applyNumberFormat="1" applyFont="1" applyFill="1" applyBorder="1" applyAlignment="1">
      <alignment wrapText="1"/>
    </xf>
    <xf numFmtId="49" fontId="1" fillId="4" borderId="0" xfId="1" applyNumberFormat="1" applyFill="1" applyAlignment="1">
      <alignment wrapText="1"/>
    </xf>
    <xf numFmtId="0" fontId="0" fillId="15" borderId="13" xfId="0" applyNumberFormat="1" applyFont="1" applyFill="1" applyBorder="1" applyAlignment="1">
      <alignment wrapText="1"/>
    </xf>
    <xf numFmtId="0" fontId="0" fillId="2" borderId="9" xfId="0" applyNumberFormat="1" applyFont="1" applyFill="1" applyBorder="1" applyAlignment="1">
      <alignment wrapText="1"/>
    </xf>
    <xf numFmtId="0" fontId="0" fillId="13" borderId="13" xfId="0" applyNumberFormat="1" applyFont="1" applyFill="1" applyBorder="1" applyAlignment="1">
      <alignment wrapText="1"/>
    </xf>
    <xf numFmtId="0" fontId="0" fillId="13" borderId="10" xfId="0" applyFill="1" applyBorder="1" applyAlignment="1">
      <alignment wrapText="1"/>
    </xf>
    <xf numFmtId="49" fontId="0" fillId="12" borderId="1" xfId="0" applyNumberFormat="1" applyFont="1" applyFill="1" applyBorder="1"/>
    <xf numFmtId="0" fontId="9" fillId="12" borderId="1" xfId="0" applyFont="1" applyFill="1" applyBorder="1"/>
    <xf numFmtId="0" fontId="10" fillId="12" borderId="1" xfId="0" applyFont="1" applyFill="1" applyBorder="1"/>
    <xf numFmtId="0" fontId="9" fillId="12" borderId="1" xfId="0" applyFont="1" applyFill="1" applyBorder="1" applyAlignment="1">
      <alignment vertical="center"/>
    </xf>
    <xf numFmtId="49" fontId="1" fillId="16" borderId="12" xfId="1" applyNumberFormat="1" applyFill="1" applyBorder="1" applyAlignment="1">
      <alignment wrapText="1"/>
    </xf>
    <xf numFmtId="49" fontId="0" fillId="20" borderId="0" xfId="0" applyNumberFormat="1" applyFont="1" applyFill="1" applyBorder="1" applyAlignment="1">
      <alignment wrapText="1"/>
    </xf>
    <xf numFmtId="0" fontId="0" fillId="17" borderId="10" xfId="0" applyNumberFormat="1" applyFont="1" applyFill="1" applyBorder="1" applyAlignment="1">
      <alignment wrapText="1"/>
    </xf>
    <xf numFmtId="0" fontId="0" fillId="5" borderId="0" xfId="0" applyNumberFormat="1" applyFont="1" applyFill="1" applyBorder="1" applyAlignment="1"/>
    <xf numFmtId="0" fontId="0" fillId="2" borderId="8" xfId="0" applyNumberFormat="1" applyFont="1" applyFill="1" applyBorder="1" applyAlignment="1">
      <alignment wrapText="1"/>
    </xf>
    <xf numFmtId="0" fontId="0" fillId="2" borderId="13" xfId="0" applyNumberFormat="1" applyFont="1" applyFill="1" applyBorder="1" applyAlignment="1">
      <alignment wrapText="1"/>
    </xf>
    <xf numFmtId="0" fontId="0" fillId="2" borderId="10" xfId="0" applyNumberFormat="1" applyFont="1" applyFill="1" applyBorder="1" applyAlignment="1">
      <alignment wrapText="1"/>
    </xf>
    <xf numFmtId="49" fontId="0" fillId="0" borderId="0" xfId="0" applyNumberFormat="1" applyFont="1" applyFill="1" applyBorder="1" applyAlignment="1"/>
    <xf numFmtId="0" fontId="11" fillId="22" borderId="15" xfId="0" applyFont="1" applyFill="1" applyBorder="1" applyAlignment="1">
      <alignment horizontal="center"/>
    </xf>
    <xf numFmtId="0" fontId="11" fillId="25" borderId="0" xfId="0" applyFont="1" applyFill="1" applyAlignment="1">
      <alignment horizontal="center"/>
    </xf>
    <xf numFmtId="0" fontId="11" fillId="26" borderId="0" xfId="0" applyFont="1" applyFill="1" applyAlignment="1">
      <alignment horizontal="center"/>
    </xf>
    <xf numFmtId="49" fontId="11" fillId="25" borderId="0" xfId="0" applyNumberFormat="1" applyFont="1" applyFill="1" applyAlignment="1">
      <alignment horizontal="center"/>
    </xf>
    <xf numFmtId="0" fontId="11" fillId="26" borderId="15" xfId="0" applyFont="1" applyFill="1" applyBorder="1" applyAlignment="1">
      <alignment horizontal="center"/>
    </xf>
    <xf numFmtId="0" fontId="11" fillId="21" borderId="0" xfId="0" applyFont="1" applyFill="1" applyAlignment="1">
      <alignment horizontal="center"/>
    </xf>
    <xf numFmtId="0" fontId="11" fillId="25" borderId="15" xfId="0" applyFont="1" applyFill="1" applyBorder="1" applyAlignment="1">
      <alignment horizontal="center"/>
    </xf>
    <xf numFmtId="0" fontId="11" fillId="27" borderId="0" xfId="0" applyFont="1" applyFill="1" applyAlignment="1">
      <alignment horizontal="center"/>
    </xf>
    <xf numFmtId="0" fontId="11" fillId="27" borderId="15" xfId="0" applyFont="1" applyFill="1" applyBorder="1" applyAlignment="1">
      <alignment horizontal="center"/>
    </xf>
    <xf numFmtId="0" fontId="11" fillId="22" borderId="0" xfId="0" applyFont="1" applyFill="1" applyAlignment="1">
      <alignment horizontal="center"/>
    </xf>
    <xf numFmtId="0" fontId="11" fillId="28" borderId="0" xfId="0" applyFont="1" applyFill="1" applyAlignment="1">
      <alignment horizontal="center"/>
    </xf>
    <xf numFmtId="0" fontId="11" fillId="28" borderId="15" xfId="0" applyFont="1" applyFill="1" applyBorder="1" applyAlignment="1">
      <alignment horizontal="center"/>
    </xf>
    <xf numFmtId="0" fontId="11" fillId="29" borderId="0" xfId="0" applyFont="1" applyFill="1" applyAlignment="1">
      <alignment horizontal="center"/>
    </xf>
    <xf numFmtId="0" fontId="11" fillId="29" borderId="15" xfId="0" applyFont="1" applyFill="1" applyBorder="1" applyAlignment="1">
      <alignment horizontal="center"/>
    </xf>
    <xf numFmtId="49" fontId="1" fillId="4" borderId="6" xfId="1" quotePrefix="1" applyNumberFormat="1" applyFill="1" applyBorder="1" applyAlignment="1">
      <alignment wrapText="1"/>
    </xf>
    <xf numFmtId="49" fontId="1" fillId="4" borderId="12" xfId="1" quotePrefix="1" applyNumberFormat="1" applyFill="1" applyBorder="1" applyAlignment="1">
      <alignment wrapText="1"/>
    </xf>
    <xf numFmtId="0" fontId="11" fillId="24" borderId="15" xfId="0" applyFont="1" applyFill="1" applyBorder="1" applyAlignment="1">
      <alignment horizontal="center"/>
    </xf>
    <xf numFmtId="0" fontId="0" fillId="0" borderId="0" xfId="0" applyNumberFormat="1" applyFont="1" applyFill="1" applyBorder="1" applyAlignment="1">
      <alignment wrapText="1"/>
    </xf>
    <xf numFmtId="0" fontId="11" fillId="16" borderId="15" xfId="0" applyFont="1" applyFill="1" applyBorder="1" applyAlignment="1">
      <alignment horizontal="center"/>
    </xf>
    <xf numFmtId="0" fontId="11" fillId="20" borderId="15" xfId="0" applyFont="1" applyFill="1" applyBorder="1" applyAlignment="1">
      <alignment horizontal="center"/>
    </xf>
    <xf numFmtId="0" fontId="11" fillId="8" borderId="15" xfId="0" applyFont="1" applyFill="1" applyBorder="1" applyAlignment="1">
      <alignment horizontal="center"/>
    </xf>
    <xf numFmtId="0" fontId="11" fillId="6" borderId="15" xfId="0" applyFont="1" applyFill="1" applyBorder="1" applyAlignment="1">
      <alignment horizontal="center"/>
    </xf>
    <xf numFmtId="0" fontId="11" fillId="23" borderId="15" xfId="0" applyFont="1" applyFill="1" applyBorder="1" applyAlignment="1">
      <alignment horizontal="center"/>
    </xf>
    <xf numFmtId="0" fontId="11" fillId="21" borderId="15" xfId="0" applyFont="1" applyFill="1" applyBorder="1" applyAlignment="1">
      <alignment horizontal="center"/>
    </xf>
    <xf numFmtId="0" fontId="0" fillId="0" borderId="0" xfId="0" applyNumberFormat="1" applyFont="1" applyFill="1" applyBorder="1" applyAlignment="1"/>
    <xf numFmtId="49" fontId="0" fillId="0" borderId="0" xfId="0" applyNumberFormat="1" applyFont="1" applyFill="1" applyBorder="1" applyAlignment="1"/>
    <xf numFmtId="0" fontId="11" fillId="22" borderId="15" xfId="0" applyFont="1" applyFill="1" applyBorder="1" applyAlignment="1">
      <alignment horizontal="center"/>
    </xf>
  </cellXfs>
  <cellStyles count="2">
    <cellStyle name="Normal" xfId="0" builtinId="0"/>
    <cellStyle name="Обычный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133350</xdr:rowOff>
    </xdr:from>
    <xdr:to>
      <xdr:col>0</xdr:col>
      <xdr:colOff>152400</xdr:colOff>
      <xdr:row>1</xdr:row>
      <xdr:rowOff>114300</xdr:rowOff>
    </xdr:to>
    <xdr:sp macro="" textlink="">
      <xdr:nvSpPr>
        <xdr:cNvPr id="1025" name="TempCombo"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a:xfrm>
          <a:off x="133350" y="133350"/>
          <a:ext cx="19050" cy="202565"/>
        </a:xfrm>
        <a:prstGeom prst="rect">
          <a:avLst/>
        </a:prstGeom>
      </xdr:spPr>
    </xdr:sp>
    <xdr:clientData/>
  </xdr:twoCellAnchor>
  <xdr:twoCellAnchor editAs="oneCell">
    <xdr:from>
      <xdr:col>0</xdr:col>
      <xdr:colOff>161925</xdr:colOff>
      <xdr:row>0</xdr:row>
      <xdr:rowOff>161925</xdr:rowOff>
    </xdr:from>
    <xdr:to>
      <xdr:col>0</xdr:col>
      <xdr:colOff>190500</xdr:colOff>
      <xdr:row>1</xdr:row>
      <xdr:rowOff>139700</xdr:rowOff>
    </xdr:to>
    <xdr:pic>
      <xdr:nvPicPr>
        <xdr:cNvPr id="2" name="TempCombo" hidden="1">
          <a:extLst>
            <a:ext uri="{FF2B5EF4-FFF2-40B4-BE49-F238E27FC236}">
              <a16:creationId xmlns:a16="http://schemas.microsoft.com/office/drawing/2014/main" id="{00000000-0008-0000-0000-000002000000}"/>
            </a:ext>
          </a:extLst>
        </xdr:cNvPr>
        <xdr:cNvPicPr>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61925"/>
          <a:ext cx="28575" cy="200025"/>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D2"/>
  <sheetViews>
    <sheetView tabSelected="1" workbookViewId="0">
      <selection sqref="A1:AA1"/>
    </sheetView>
  </sheetViews>
  <sheetFormatPr baseColWidth="10" defaultColWidth="9.140625" defaultRowHeight="12.75"/>
  <cols>
    <col min="1" max="1" width="15.5703125" customWidth="1"/>
    <col min="2" max="2" width="49.5703125" customWidth="1"/>
    <col min="3" max="4" width="14.7109375" hidden="1" customWidth="1"/>
    <col min="5" max="5" width="33.5703125" hidden="1" customWidth="1"/>
    <col min="6" max="6" width="28.42578125" hidden="1" customWidth="1"/>
    <col min="7" max="7" width="18.42578125" style="111" customWidth="1"/>
    <col min="8" max="8" width="13.28515625" customWidth="1"/>
    <col min="9" max="9" width="15.28515625" customWidth="1"/>
    <col min="10" max="10" width="18.5703125" customWidth="1"/>
    <col min="11" max="11" width="19.140625" customWidth="1"/>
    <col min="12" max="12" width="20.7109375" hidden="1" customWidth="1"/>
    <col min="13" max="13" width="26.140625" customWidth="1"/>
    <col min="14" max="14" width="31.5703125" customWidth="1"/>
    <col min="15" max="15" width="35.5703125" customWidth="1"/>
    <col min="16" max="16" width="30" customWidth="1"/>
    <col min="17" max="17" width="30.85546875" customWidth="1"/>
    <col min="18" max="18" width="18.5703125" customWidth="1"/>
    <col min="19" max="19" width="20.140625" hidden="1" customWidth="1"/>
    <col min="20" max="20" width="25.5703125" customWidth="1"/>
    <col min="21" max="21" width="21.42578125" customWidth="1"/>
    <col min="22" max="22" width="25.42578125" customWidth="1"/>
    <col min="23" max="23" width="19.85546875" customWidth="1"/>
    <col min="24" max="24" width="30.42578125" customWidth="1"/>
    <col min="25" max="25" width="5.85546875" hidden="1" customWidth="1"/>
    <col min="26" max="26" width="11.7109375" hidden="1" customWidth="1"/>
    <col min="27" max="27" width="24.85546875" hidden="1" customWidth="1"/>
    <col min="28" max="28" width="18.5703125" customWidth="1"/>
    <col min="29" max="29" width="16.7109375" customWidth="1"/>
    <col min="30" max="30" width="19.140625" customWidth="1"/>
    <col min="31" max="31" width="29" customWidth="1"/>
    <col min="32" max="32" width="24.28515625" customWidth="1"/>
    <col min="33" max="33" width="20.85546875" hidden="1" customWidth="1"/>
    <col min="34" max="34" width="24.28515625" hidden="1" customWidth="1"/>
    <col min="35" max="35" width="37.140625" hidden="1" customWidth="1"/>
    <col min="36" max="36" width="11" hidden="1" customWidth="1"/>
    <col min="37" max="37" width="32.7109375" hidden="1" customWidth="1"/>
    <col min="38" max="38" width="24.5703125" hidden="1" customWidth="1"/>
    <col min="39" max="39" width="31.85546875" customWidth="1"/>
    <col min="40" max="40" width="23.7109375" customWidth="1"/>
    <col min="41" max="41" width="32.7109375" hidden="1" customWidth="1"/>
    <col min="42" max="42" width="10.140625" hidden="1" customWidth="1"/>
    <col min="43" max="43" width="15.28515625" customWidth="1"/>
    <col min="44" max="44" width="30.28515625" customWidth="1"/>
    <col min="45" max="45" width="19.85546875" customWidth="1"/>
    <col min="46" max="46" width="30.85546875" style="3" hidden="1" customWidth="1"/>
    <col min="47" max="47" width="12.5703125" style="3" hidden="1" customWidth="1"/>
    <col min="48" max="48" width="29.42578125" style="3" hidden="1" customWidth="1"/>
    <col min="49" max="49" width="26.5703125" style="3" hidden="1" customWidth="1"/>
    <col min="50" max="50" width="20.7109375" style="3" hidden="1" customWidth="1"/>
    <col min="51" max="51" width="35.7109375" style="3" hidden="1" customWidth="1"/>
    <col min="52" max="52" width="30.7109375" style="3" hidden="1" customWidth="1"/>
    <col min="53" max="53" width="16.28515625" style="3" hidden="1" customWidth="1"/>
    <col min="54" max="54" width="35.28515625" style="3" hidden="1" customWidth="1"/>
    <col min="55" max="55" width="14.42578125" style="3" hidden="1" customWidth="1"/>
    <col min="56" max="56" width="28.28515625" style="3" hidden="1" customWidth="1"/>
    <col min="57" max="57" width="7.5703125" style="3" hidden="1" customWidth="1"/>
    <col min="58" max="58" width="17.28515625" style="3" hidden="1" customWidth="1"/>
    <col min="59" max="59" width="31" style="3" hidden="1" customWidth="1"/>
    <col min="60" max="60" width="30.28515625" style="3" hidden="1" customWidth="1"/>
    <col min="61" max="61" width="33.28515625" style="3" hidden="1" customWidth="1"/>
    <col min="62" max="62" width="33" style="3" hidden="1" customWidth="1"/>
    <col min="63" max="63" width="24.140625" style="3" customWidth="1"/>
    <col min="64" max="64" width="26.5703125" style="3" customWidth="1"/>
    <col min="65" max="65" width="15.28515625" style="3" customWidth="1"/>
    <col min="66" max="66" width="7.28515625" style="3" hidden="1" customWidth="1"/>
    <col min="67" max="82" width="0" style="3" hidden="1" customWidth="1"/>
    <col min="83" max="16384" width="9.140625" style="3"/>
  </cols>
  <sheetData>
    <row r="1" spans="1:82" ht="17.45" customHeight="1">
      <c r="A1" s="135" t="s">
        <v>0</v>
      </c>
      <c r="B1" s="136"/>
      <c r="C1" s="136"/>
      <c r="D1" s="136"/>
      <c r="E1" s="136"/>
      <c r="F1" s="136"/>
      <c r="G1" s="137"/>
      <c r="H1" s="136"/>
      <c r="I1" s="136"/>
      <c r="J1" s="136"/>
      <c r="K1" s="136"/>
      <c r="L1" s="136"/>
      <c r="M1" s="136"/>
      <c r="N1" s="136"/>
      <c r="O1" s="136"/>
      <c r="P1" s="136"/>
      <c r="Q1" s="136"/>
      <c r="R1" s="136"/>
      <c r="S1" s="136"/>
      <c r="T1" s="136"/>
      <c r="U1" s="136"/>
      <c r="V1" s="136"/>
      <c r="W1" s="136"/>
      <c r="X1" s="136"/>
      <c r="Y1" s="136"/>
      <c r="Z1" s="136"/>
      <c r="AA1" s="135" t="s">
        <v>1</v>
      </c>
      <c r="AB1" s="138" t="s">
        <v>2</v>
      </c>
      <c r="AC1" s="136"/>
      <c r="AD1" s="138" t="s">
        <v>1</v>
      </c>
      <c r="AE1" s="134" t="s">
        <v>3</v>
      </c>
      <c r="AF1" s="136"/>
      <c r="AG1" s="136"/>
      <c r="AH1" s="136"/>
      <c r="AI1" s="136"/>
      <c r="AJ1" s="136"/>
      <c r="AK1" s="136"/>
      <c r="AL1" s="134" t="s">
        <v>1</v>
      </c>
      <c r="AM1" s="130" t="s">
        <v>4</v>
      </c>
      <c r="AN1" s="136"/>
      <c r="AO1" s="136"/>
      <c r="AP1" s="136"/>
      <c r="AQ1" s="130" t="s">
        <v>1</v>
      </c>
      <c r="AR1" s="134" t="s">
        <v>5</v>
      </c>
      <c r="AS1" s="134" t="s">
        <v>1</v>
      </c>
      <c r="AT1" s="130" t="s">
        <v>6</v>
      </c>
      <c r="AU1" s="130" t="s">
        <v>1</v>
      </c>
      <c r="AV1" s="131" t="s">
        <v>7</v>
      </c>
      <c r="AW1" s="131" t="s">
        <v>1</v>
      </c>
      <c r="AX1" s="132" t="s">
        <v>8</v>
      </c>
      <c r="AY1" s="129"/>
      <c r="AZ1" s="129"/>
      <c r="BA1" s="129"/>
      <c r="BB1" s="129"/>
      <c r="BC1" s="129"/>
      <c r="BD1" s="129"/>
      <c r="BE1" s="129"/>
      <c r="BF1" s="129"/>
      <c r="BG1" s="129"/>
      <c r="BH1" s="129"/>
      <c r="BI1" s="129"/>
      <c r="BJ1" s="132" t="s">
        <v>1</v>
      </c>
      <c r="BK1" s="133" t="s">
        <v>9</v>
      </c>
      <c r="BL1" s="133" t="s">
        <v>1</v>
      </c>
      <c r="BM1" s="134" t="s">
        <v>10</v>
      </c>
      <c r="BN1" s="134" t="s">
        <v>1</v>
      </c>
      <c r="BO1" s="128" t="s">
        <v>11</v>
      </c>
      <c r="BP1" s="129"/>
      <c r="BQ1" s="129"/>
      <c r="BR1" s="129"/>
      <c r="BS1" s="129"/>
      <c r="BT1" s="129"/>
      <c r="BU1" s="129"/>
      <c r="BV1" s="129"/>
      <c r="BW1" s="129"/>
      <c r="BX1" s="129"/>
      <c r="BY1" s="129"/>
      <c r="BZ1" s="129"/>
      <c r="CA1" s="129"/>
      <c r="CB1" s="129"/>
      <c r="CC1" s="129"/>
      <c r="CD1" s="128" t="s">
        <v>1</v>
      </c>
    </row>
    <row r="2" spans="1:82" ht="17.45" customHeight="1">
      <c r="A2" s="113" t="s">
        <v>12</v>
      </c>
      <c r="B2" s="113" t="s">
        <v>13</v>
      </c>
      <c r="C2" s="114" t="s">
        <v>14</v>
      </c>
      <c r="D2" s="114" t="s">
        <v>15</v>
      </c>
      <c r="E2" s="114" t="s">
        <v>16</v>
      </c>
      <c r="F2" s="114" t="s">
        <v>17</v>
      </c>
      <c r="G2" s="115" t="s">
        <v>18</v>
      </c>
      <c r="H2" s="113" t="s">
        <v>19</v>
      </c>
      <c r="I2" s="113" t="s">
        <v>20</v>
      </c>
      <c r="J2" s="113" t="s">
        <v>21</v>
      </c>
      <c r="K2" s="114" t="s">
        <v>22</v>
      </c>
      <c r="L2" s="114" t="s">
        <v>23</v>
      </c>
      <c r="M2" s="114" t="s">
        <v>24</v>
      </c>
      <c r="N2" s="114" t="s">
        <v>25</v>
      </c>
      <c r="O2" s="114" t="s">
        <v>26</v>
      </c>
      <c r="P2" s="114" t="s">
        <v>27</v>
      </c>
      <c r="Q2" s="114" t="s">
        <v>28</v>
      </c>
      <c r="R2" s="114" t="s">
        <v>29</v>
      </c>
      <c r="S2" s="114" t="s">
        <v>30</v>
      </c>
      <c r="T2" s="114" t="s">
        <v>31</v>
      </c>
      <c r="U2" s="114" t="s">
        <v>32</v>
      </c>
      <c r="V2" s="114" t="s">
        <v>33</v>
      </c>
      <c r="W2" s="114" t="s">
        <v>34</v>
      </c>
      <c r="X2" s="114" t="s">
        <v>35</v>
      </c>
      <c r="Y2" s="114" t="s">
        <v>36</v>
      </c>
      <c r="Z2" s="114" t="s">
        <v>37</v>
      </c>
      <c r="AA2" s="116" t="s">
        <v>38</v>
      </c>
      <c r="AB2" s="117" t="s">
        <v>39</v>
      </c>
      <c r="AC2" s="117" t="s">
        <v>40</v>
      </c>
      <c r="AD2" s="118" t="s">
        <v>41</v>
      </c>
      <c r="AE2" s="119" t="s">
        <v>42</v>
      </c>
      <c r="AF2" s="113" t="s">
        <v>43</v>
      </c>
      <c r="AG2" s="119" t="s">
        <v>44</v>
      </c>
      <c r="AH2" s="119" t="s">
        <v>45</v>
      </c>
      <c r="AI2" s="119" t="s">
        <v>46</v>
      </c>
      <c r="AJ2" s="119" t="s">
        <v>47</v>
      </c>
      <c r="AK2" s="119" t="s">
        <v>48</v>
      </c>
      <c r="AL2" s="120" t="s">
        <v>49</v>
      </c>
      <c r="AM2" s="114" t="s">
        <v>50</v>
      </c>
      <c r="AN2" s="113" t="s">
        <v>43</v>
      </c>
      <c r="AO2" s="114" t="s">
        <v>51</v>
      </c>
      <c r="AP2" s="114" t="s">
        <v>52</v>
      </c>
      <c r="AQ2" s="116" t="s">
        <v>53</v>
      </c>
      <c r="AR2" s="119" t="s">
        <v>54</v>
      </c>
      <c r="AS2" s="118" t="s">
        <v>43</v>
      </c>
      <c r="AT2" s="114" t="s">
        <v>55</v>
      </c>
      <c r="AU2" s="116" t="s">
        <v>43</v>
      </c>
      <c r="AV2" s="121" t="s">
        <v>56</v>
      </c>
      <c r="AW2" s="112" t="s">
        <v>57</v>
      </c>
      <c r="AX2" s="114" t="s">
        <v>58</v>
      </c>
      <c r="AY2" s="114" t="s">
        <v>59</v>
      </c>
      <c r="AZ2" s="114" t="s">
        <v>60</v>
      </c>
      <c r="BA2" s="114" t="s">
        <v>61</v>
      </c>
      <c r="BB2" s="114" t="s">
        <v>62</v>
      </c>
      <c r="BC2" s="114" t="s">
        <v>63</v>
      </c>
      <c r="BD2" s="114" t="s">
        <v>64</v>
      </c>
      <c r="BE2" s="114" t="s">
        <v>65</v>
      </c>
      <c r="BF2" s="114" t="s">
        <v>66</v>
      </c>
      <c r="BG2" s="114" t="s">
        <v>67</v>
      </c>
      <c r="BH2" s="114" t="s">
        <v>68</v>
      </c>
      <c r="BI2" s="114" t="s">
        <v>69</v>
      </c>
      <c r="BJ2" s="116" t="s">
        <v>70</v>
      </c>
      <c r="BK2" s="114" t="s">
        <v>71</v>
      </c>
      <c r="BL2" s="116" t="s">
        <v>72</v>
      </c>
      <c r="BM2" s="113" t="s">
        <v>73</v>
      </c>
      <c r="BN2" s="120" t="s">
        <v>74</v>
      </c>
      <c r="BO2" s="122" t="s">
        <v>75</v>
      </c>
      <c r="BP2" s="122" t="s">
        <v>76</v>
      </c>
      <c r="BQ2" s="122" t="s">
        <v>77</v>
      </c>
      <c r="BR2" s="122" t="s">
        <v>78</v>
      </c>
      <c r="BS2" s="122" t="s">
        <v>79</v>
      </c>
      <c r="BT2" s="122" t="s">
        <v>80</v>
      </c>
      <c r="BU2" s="122" t="s">
        <v>81</v>
      </c>
      <c r="BV2" s="123" t="s">
        <v>82</v>
      </c>
      <c r="BW2" s="124" t="s">
        <v>83</v>
      </c>
      <c r="BX2" s="124" t="s">
        <v>84</v>
      </c>
      <c r="BY2" s="124" t="s">
        <v>85</v>
      </c>
      <c r="BZ2" s="124" t="s">
        <v>86</v>
      </c>
      <c r="CA2" s="124" t="s">
        <v>87</v>
      </c>
      <c r="CB2" s="124" t="s">
        <v>88</v>
      </c>
      <c r="CC2" s="124" t="s">
        <v>89</v>
      </c>
      <c r="CD2" s="125" t="s">
        <v>90</v>
      </c>
    </row>
  </sheetData>
  <mergeCells count="11">
    <mergeCell ref="A1:AA1"/>
    <mergeCell ref="AB1:AD1"/>
    <mergeCell ref="AE1:AL1"/>
    <mergeCell ref="AM1:AQ1"/>
    <mergeCell ref="AR1:AS1"/>
    <mergeCell ref="BO1:CD1"/>
    <mergeCell ref="AT1:AU1"/>
    <mergeCell ref="AV1:AW1"/>
    <mergeCell ref="AX1:BJ1"/>
    <mergeCell ref="BK1:BL1"/>
    <mergeCell ref="BM1:BN1"/>
  </mergeCells>
  <dataValidations count="22">
    <dataValidation type="decimal" operator="lessThanOrEqual" allowBlank="1" showErrorMessage="1" sqref="I3:I35" xr:uid="{00000000-0002-0000-0000-000002000000}">
      <formula1>#REF!</formula1>
    </dataValidation>
    <dataValidation type="decimal" operator="lessThanOrEqual" allowBlank="1" showErrorMessage="1" sqref="I36:I334" xr:uid="{00000000-0002-0000-0000-000004000000}">
      <formula1>$J3</formula1>
    </dataValidation>
    <dataValidation type="decimal" operator="greaterThanOrEqual" allowBlank="1" showErrorMessage="1" sqref="J3:J35" xr:uid="{00000000-0002-0000-0000-000006000000}">
      <formula1>#REF!</formula1>
    </dataValidation>
    <dataValidation type="decimal" operator="greaterThanOrEqual" allowBlank="1" showErrorMessage="1" sqref="J36:J334" xr:uid="{00000000-0002-0000-0000-000008000000}">
      <formula1>$I3</formula1>
    </dataValidation>
    <dataValidation type="decimal" operator="notEqual" allowBlank="1" showErrorMessage="1" sqref="BB3:BB334 G3:G334 AA3:AA334 AZ3:AZ334" xr:uid="{00000000-0002-0000-0000-000000000000}">
      <formula1>1E+29</formula1>
    </dataValidation>
    <dataValidation type="list" allowBlank="1" showErrorMessage="1" sqref="BF3:BF334 H3:H334" xr:uid="{00000000-0002-0000-0000-000001000000}">
      <formula1>CURRENCY_CODE</formula1>
    </dataValidation>
    <dataValidation type="list" allowBlank="1" showErrorMessage="1" sqref="BK3:BL334 M3:M334 T3:T334 AP3:AP334" xr:uid="{00000000-0002-0000-0000-00000A000000}">
      <formula1>COUNTRY_CODE</formula1>
    </dataValidation>
    <dataValidation type="list" allowBlank="1" showErrorMessage="1" sqref="AG3:AG334 AC3:AC334" xr:uid="{00000000-0002-0000-0000-00000B000000}">
      <formula1>PACKAGE_CODE</formula1>
    </dataValidation>
    <dataValidation type="decimal" operator="greaterThanOrEqual" allowBlank="1" showErrorMessage="1" sqref="C3:F334 AD3:AD334 AJ3:AJ334" xr:uid="{00000000-0002-0000-0000-00000C000000}">
      <formula1>0</formula1>
    </dataValidation>
    <dataValidation type="list" allowBlank="1" showErrorMessage="1" sqref="AE3:AE334" xr:uid="{00000000-0002-0000-0000-00000D000000}">
      <formula1>PREVIOUS_DOCUMENT_TYPE_CODE</formula1>
    </dataValidation>
    <dataValidation type="whole" operator="greaterThanOrEqual" allowBlank="1" showErrorMessage="1" sqref="AL3:AL334 AH3:AH334" xr:uid="{00000000-0002-0000-0000-00000E000000}">
      <formula1>0</formula1>
    </dataValidation>
    <dataValidation type="list" allowBlank="1" showErrorMessage="1" sqref="AI3:AI334" xr:uid="{00000000-0002-0000-0000-00000F000000}">
      <formula1>Measure_Unit_Code</formula1>
    </dataValidation>
    <dataValidation type="list" allowBlank="1" showErrorMessage="1" sqref="AM3:AM334" xr:uid="{00000000-0002-0000-0000-000010000000}">
      <formula1>DOCUMENT_TYPE_CODE</formula1>
    </dataValidation>
    <dataValidation type="list" allowBlank="1" showErrorMessage="1" sqref="AR3:AR334" xr:uid="{00000000-0002-0000-0000-000011000000}">
      <formula1>Transport_Document_Code</formula1>
    </dataValidation>
    <dataValidation type="list" allowBlank="1" showErrorMessage="1" sqref="AT3:AT334" xr:uid="{00000000-0002-0000-0000-000012000000}">
      <formula1>Additional_Reference_Code</formula1>
    </dataValidation>
    <dataValidation type="list" allowBlank="1" showErrorMessage="1" sqref="AV3:AV334" xr:uid="{00000000-0002-0000-0000-000013000000}">
      <formula1>ADDITIONAL_INFO_IDENT_CODE</formula1>
    </dataValidation>
    <dataValidation type="list" allowBlank="1" showErrorMessage="1" sqref="AX3:AX334" xr:uid="{00000000-0002-0000-0000-000014000000}">
      <formula1>DISCHARGING_DECLARATION_CODE</formula1>
    </dataValidation>
    <dataValidation type="list" allowBlank="1" showErrorMessage="1" sqref="BD3:BD334" xr:uid="{00000000-0002-0000-0000-000015000000}">
      <formula1>Export_From_EU</formula1>
    </dataValidation>
    <dataValidation type="list" allowBlank="1" showErrorMessage="1" sqref="BG3:BG334" xr:uid="{00000000-0002-0000-0000-000016000000}">
      <formula1>DELIVERY_TERMS_CODE</formula1>
    </dataValidation>
    <dataValidation type="list" allowBlank="1" showErrorMessage="1" sqref="BH3:BH334" xr:uid="{00000000-0002-0000-0000-000017000000}">
      <formula1>PAYMENT_TYPE_CODE</formula1>
    </dataValidation>
    <dataValidation type="list" allowBlank="1" showErrorMessage="1" sqref="BI3:BI334" xr:uid="{00000000-0002-0000-0000-000018000000}">
      <formula1>TRANSACTION_TYPE_CODE</formula1>
    </dataValidation>
    <dataValidation type="list" allowBlank="1" showErrorMessage="1" sqref="BJ3:BJ334" xr:uid="{00000000-0002-0000-0000-000019000000}">
      <formula1>COUNTRY_TRADE_CODE</formula1>
    </dataValidation>
  </dataValidations>
  <pageMargins left="0.75" right="0.75" top="1" bottom="1" header="0.5" footer="0.5"/>
  <pageSetup paperSize="9" scale="10" firstPageNumber="0" fitToWidth="0" fitToHeight="0" pageOrder="overThenDown" orientation="portrait" useFirstPageNumber="1"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J1163"/>
  <sheetViews>
    <sheetView topLeftCell="K240" zoomScale="90" zoomScaleNormal="90" workbookViewId="0">
      <selection activeCell="N257" sqref="N257"/>
    </sheetView>
  </sheetViews>
  <sheetFormatPr baseColWidth="10" defaultColWidth="9.140625" defaultRowHeight="12.75"/>
  <cols>
    <col min="1" max="1" width="8.85546875" customWidth="1"/>
    <col min="2" max="2" width="15.28515625" style="1" customWidth="1"/>
    <col min="3" max="3" width="46.140625" style="1" customWidth="1"/>
    <col min="4" max="4" width="40.85546875" style="1" customWidth="1"/>
    <col min="5" max="5" width="16.140625" customWidth="1"/>
    <col min="6" max="6" width="16.28515625" style="2" customWidth="1"/>
    <col min="7" max="7" width="27" style="2" customWidth="1"/>
    <col min="8" max="8" width="29.28515625" style="2" customWidth="1"/>
    <col min="9" max="9" width="9.140625" style="3"/>
    <col min="10" max="10" width="22.7109375" style="4" customWidth="1"/>
    <col min="11" max="11" width="46.42578125" style="4" customWidth="1"/>
    <col min="12" max="12" width="39.28515625" style="4" customWidth="1"/>
    <col min="13" max="13" width="9.140625" style="3"/>
    <col min="14" max="14" width="16.7109375" style="5" customWidth="1"/>
    <col min="15" max="15" width="24.42578125" style="5" customWidth="1"/>
    <col min="16" max="16" width="34.42578125" style="5" customWidth="1"/>
    <col min="17" max="17" width="9.140625" style="3"/>
    <col min="18" max="19" width="32.85546875" style="6" customWidth="1"/>
    <col min="20" max="20" width="105.140625" style="6" customWidth="1"/>
    <col min="21" max="21" width="9.140625" style="3"/>
    <col min="22" max="22" width="33.28515625" style="3" customWidth="1"/>
    <col min="23" max="23" width="108.7109375" style="3" customWidth="1"/>
    <col min="24" max="24" width="115.7109375" style="3" customWidth="1"/>
    <col min="25" max="25" width="9.140625" style="3"/>
    <col min="26" max="26" width="30.28515625" style="3" customWidth="1"/>
    <col min="27" max="27" width="34" style="3" customWidth="1"/>
    <col min="28" max="28" width="33.28515625" style="3" customWidth="1"/>
    <col min="29" max="29" width="9.140625" style="3"/>
    <col min="30" max="30" width="19.7109375" style="3" customWidth="1"/>
    <col min="31" max="31" width="9.140625" style="3"/>
    <col min="32" max="32" width="29.140625" style="7" customWidth="1"/>
    <col min="33" max="33" width="46.42578125" style="7" customWidth="1"/>
    <col min="34" max="34" width="32.85546875" style="7" customWidth="1"/>
    <col min="35" max="36" width="9.140625" style="3"/>
    <col min="37" max="38" width="23" style="3" customWidth="1"/>
    <col min="39" max="39" width="9.140625" style="3"/>
    <col min="40" max="40" width="9.140625" style="8"/>
    <col min="41" max="41" width="34" style="3" customWidth="1"/>
    <col min="42" max="42" width="36.5703125" style="3" customWidth="1"/>
    <col min="43" max="43" width="9.140625" style="3"/>
    <col min="44" max="44" width="9.140625" style="8"/>
    <col min="45" max="45" width="29" style="3" customWidth="1"/>
    <col min="46" max="46" width="75.5703125" style="3" customWidth="1"/>
    <col min="47" max="47" width="9.140625" style="3"/>
    <col min="48" max="48" width="14" style="9" customWidth="1"/>
    <col min="49" max="49" width="36.85546875" style="10" customWidth="1"/>
    <col min="50" max="50" width="29.42578125" style="3" customWidth="1"/>
    <col min="51" max="52" width="9.140625" style="3"/>
    <col min="53" max="53" width="54.140625" style="3" customWidth="1"/>
    <col min="54" max="54" width="59.42578125" style="3" customWidth="1"/>
    <col min="55" max="56" width="9.140625" style="3"/>
    <col min="57" max="57" width="20.42578125" style="3" customWidth="1"/>
    <col min="58" max="58" width="27" style="3" customWidth="1"/>
    <col min="59" max="60" width="9.140625" style="3"/>
    <col min="61" max="61" width="49.5703125" style="3" customWidth="1"/>
    <col min="62" max="62" width="54.5703125" style="3" customWidth="1"/>
    <col min="63" max="16384" width="9.140625" style="3"/>
  </cols>
  <sheetData>
    <row r="1" spans="2:62" ht="15">
      <c r="B1" s="11" t="s">
        <v>91</v>
      </c>
      <c r="C1" s="11" t="s">
        <v>92</v>
      </c>
      <c r="D1" s="11" t="s">
        <v>91</v>
      </c>
      <c r="F1" s="12" t="s">
        <v>93</v>
      </c>
      <c r="G1" s="12" t="s">
        <v>94</v>
      </c>
      <c r="H1" s="12" t="s">
        <v>93</v>
      </c>
      <c r="J1" s="13" t="s">
        <v>95</v>
      </c>
      <c r="K1" s="13" t="s">
        <v>96</v>
      </c>
      <c r="L1" s="13" t="s">
        <v>95</v>
      </c>
      <c r="N1" s="14" t="s">
        <v>97</v>
      </c>
      <c r="O1" s="14" t="s">
        <v>98</v>
      </c>
      <c r="P1" s="14" t="s">
        <v>97</v>
      </c>
      <c r="R1" s="15" t="s">
        <v>99</v>
      </c>
      <c r="S1" s="15" t="s">
        <v>100</v>
      </c>
      <c r="T1" s="15" t="s">
        <v>99</v>
      </c>
      <c r="V1" s="16" t="s">
        <v>101</v>
      </c>
      <c r="W1" s="16" t="s">
        <v>102</v>
      </c>
      <c r="X1" s="16" t="s">
        <v>101</v>
      </c>
      <c r="Z1" s="17" t="s">
        <v>103</v>
      </c>
      <c r="AA1" s="17" t="s">
        <v>104</v>
      </c>
      <c r="AB1" s="17" t="s">
        <v>103</v>
      </c>
      <c r="AD1" s="18" t="s">
        <v>105</v>
      </c>
      <c r="AF1" s="19" t="s">
        <v>106</v>
      </c>
      <c r="AG1" s="19" t="s">
        <v>96</v>
      </c>
      <c r="AH1" s="19" t="s">
        <v>106</v>
      </c>
      <c r="AJ1" s="20" t="s">
        <v>107</v>
      </c>
      <c r="AK1" s="20" t="s">
        <v>108</v>
      </c>
      <c r="AL1" s="20" t="s">
        <v>109</v>
      </c>
      <c r="AN1" s="21" t="s">
        <v>107</v>
      </c>
      <c r="AO1" s="22" t="s">
        <v>110</v>
      </c>
      <c r="AP1" s="22" t="s">
        <v>111</v>
      </c>
      <c r="AR1" s="23" t="s">
        <v>107</v>
      </c>
      <c r="AS1" s="24" t="s">
        <v>112</v>
      </c>
      <c r="AT1" s="24" t="s">
        <v>113</v>
      </c>
      <c r="AV1" s="25" t="s">
        <v>107</v>
      </c>
      <c r="AW1" s="26" t="s">
        <v>114</v>
      </c>
      <c r="AX1" s="26" t="s">
        <v>115</v>
      </c>
      <c r="AZ1" s="27" t="s">
        <v>107</v>
      </c>
      <c r="BA1" s="28" t="s">
        <v>116</v>
      </c>
      <c r="BB1" s="29" t="s">
        <v>117</v>
      </c>
      <c r="BD1" s="30" t="s">
        <v>107</v>
      </c>
      <c r="BE1" s="31" t="s">
        <v>118</v>
      </c>
      <c r="BF1" s="32" t="s">
        <v>119</v>
      </c>
      <c r="BH1" s="33" t="s">
        <v>107</v>
      </c>
      <c r="BI1" s="34" t="s">
        <v>120</v>
      </c>
      <c r="BJ1" s="35" t="s">
        <v>121</v>
      </c>
    </row>
    <row r="2" spans="2:62" ht="15" customHeight="1">
      <c r="B2" s="36" t="s">
        <v>122</v>
      </c>
      <c r="C2" s="37" t="s">
        <v>123</v>
      </c>
      <c r="D2" s="38" t="str">
        <f t="shared" ref="D2:D65" si="0">CONCATENATE(B2,"-",C2)</f>
        <v>1A-Drum, steel</v>
      </c>
      <c r="F2" s="39" t="s">
        <v>124</v>
      </c>
      <c r="G2" s="39" t="s">
        <v>125</v>
      </c>
      <c r="H2" s="40" t="str">
        <f t="shared" ref="H2:H65" si="1">CONCATENATE(F2,"-",G2)</f>
        <v>USD-US Dollar</v>
      </c>
      <c r="J2" s="126" t="s">
        <v>126</v>
      </c>
      <c r="K2" s="42" t="s">
        <v>127</v>
      </c>
      <c r="L2" s="41" t="str">
        <f t="shared" ref="L2:L43" si="2">CONCATENATE(J2,"-",K2)</f>
        <v>C651-Accompanying administrative document</v>
      </c>
      <c r="N2" s="43" t="s">
        <v>128</v>
      </c>
      <c r="O2" s="44" t="s">
        <v>129</v>
      </c>
      <c r="P2" s="45" t="str">
        <f t="shared" ref="P2:P67" si="3">CONCATENATE(N2,"-",O2)</f>
        <v>AD-Andorra</v>
      </c>
      <c r="R2" s="46" t="s">
        <v>130</v>
      </c>
      <c r="S2" s="46" t="s">
        <v>131</v>
      </c>
      <c r="T2" s="46" t="str">
        <f t="shared" ref="T2:T33" si="4">CONCATENATE(R2,"-",S2)</f>
        <v>C512-SDE - Authorisation to use simplified declaration (Column 7a, Annex A of Delegated Regulation (EU) 2015/2446)</v>
      </c>
      <c r="V2" s="47" t="s">
        <v>132</v>
      </c>
      <c r="W2" s="47" t="s">
        <v>133</v>
      </c>
      <c r="X2" s="48" t="str">
        <f>CONCATENATE(V2,"-",W2)</f>
        <v>20300-Export</v>
      </c>
      <c r="Z2" s="49" t="s">
        <v>134</v>
      </c>
      <c r="AA2" s="49" t="s">
        <v>135</v>
      </c>
      <c r="AB2" s="49" t="str">
        <f>CONCATENATE(Z2,"-",AA2)</f>
        <v>AN-Entrepot Declaration Discharging</v>
      </c>
      <c r="AD2" s="50" t="s">
        <v>136</v>
      </c>
      <c r="AE2" s="51"/>
      <c r="AF2" s="52" t="s">
        <v>137</v>
      </c>
      <c r="AG2" s="52" t="s">
        <v>138</v>
      </c>
      <c r="AH2" s="53" t="str">
        <f t="shared" ref="AH2:AH65" si="5">CONCATENATE(AF2,"-",AG2)</f>
        <v>02015-CMR</v>
      </c>
      <c r="AJ2" s="54" t="s">
        <v>139</v>
      </c>
      <c r="AK2" s="54" t="s">
        <v>140</v>
      </c>
      <c r="AL2" s="55" t="str">
        <f>CONCATENATE(AJ2,"-",AK2)</f>
        <v>CFR-	Cost and Freight</v>
      </c>
      <c r="AN2" s="56" t="s">
        <v>141</v>
      </c>
      <c r="AO2" s="57" t="s">
        <v>142</v>
      </c>
      <c r="AP2" s="57" t="str">
        <f>CONCATENATE(AN2,"-",AO2)</f>
        <v>1-Cash Against Goods</v>
      </c>
      <c r="AR2" s="58" t="s">
        <v>143</v>
      </c>
      <c r="AS2" s="59" t="s">
        <v>144</v>
      </c>
      <c r="AT2" s="60" t="str">
        <f>CONCATENATE(AR2,"-",AS2)</f>
        <v>11-Transactions in which the Property of the Goods has been transferred in monetary or other terms - Direct Purchase or Sale</v>
      </c>
      <c r="AV2" s="61" t="s">
        <v>145</v>
      </c>
      <c r="AW2" s="62" t="s">
        <v>146</v>
      </c>
      <c r="AX2" s="63" t="str">
        <f>CONCATENATE(AV2,"-",AW2)</f>
        <v>F01-ANTALYA FREE ZONE</v>
      </c>
      <c r="AZ2" s="64" t="s">
        <v>147</v>
      </c>
      <c r="BA2" s="65" t="s">
        <v>148</v>
      </c>
      <c r="BB2" s="66" t="str">
        <f>CONCATENATE(AZ2,"-",BA2)</f>
        <v>ASV-%vol</v>
      </c>
      <c r="BD2" s="67" t="s">
        <v>149</v>
      </c>
      <c r="BE2" s="68" t="s">
        <v>150</v>
      </c>
      <c r="BF2" s="69" t="str">
        <f>CONCATENATE(BD2,"-",BE2)</f>
        <v>N740-Air waybill</v>
      </c>
      <c r="BH2" s="70" t="s">
        <v>151</v>
      </c>
      <c r="BI2" s="71" t="s">
        <v>152</v>
      </c>
      <c r="BJ2" s="72" t="str">
        <f>CONCATENATE(BH2,"-",BI2)</f>
        <v>Y910-Bigeye tuna taken by seiners or baitboats and intended mainly for the canning industry in the areas of application of the Agreement for the establishment of the Indian Ocean Tuna Commission (IOTC Agreement) and the ICCAT Convention.</v>
      </c>
    </row>
    <row r="3" spans="2:62" ht="15" customHeight="1">
      <c r="B3" s="73" t="s">
        <v>153</v>
      </c>
      <c r="C3" s="74" t="s">
        <v>154</v>
      </c>
      <c r="D3" s="75" t="str">
        <f t="shared" si="0"/>
        <v>1B-Drum, aluminium</v>
      </c>
      <c r="F3" s="39" t="s">
        <v>155</v>
      </c>
      <c r="G3" s="39" t="s">
        <v>156</v>
      </c>
      <c r="H3" s="40" t="str">
        <f t="shared" si="1"/>
        <v>AFN-Afghanistan Afghani</v>
      </c>
      <c r="J3" s="126" t="s">
        <v>157</v>
      </c>
      <c r="K3" s="42" t="s">
        <v>158</v>
      </c>
      <c r="L3" s="41" t="str">
        <f t="shared" si="2"/>
        <v>L001-AGRIM Import Certificate</v>
      </c>
      <c r="N3" s="43" t="s">
        <v>159</v>
      </c>
      <c r="O3" s="44" t="s">
        <v>160</v>
      </c>
      <c r="P3" s="45" t="str">
        <f t="shared" si="3"/>
        <v>AE-United Arab Emirates</v>
      </c>
      <c r="R3" s="46" t="s">
        <v>161</v>
      </c>
      <c r="S3" s="46" t="s">
        <v>162</v>
      </c>
      <c r="T3" s="46" t="str">
        <f t="shared" si="4"/>
        <v>C605-Information sheet INF3</v>
      </c>
      <c r="V3" s="47" t="s">
        <v>163</v>
      </c>
      <c r="W3" s="47" t="s">
        <v>164</v>
      </c>
      <c r="X3" s="48" t="str">
        <f>CONCATENATE(V3,"-",W3)</f>
        <v>20200-Export from one EFTA country subject to duties or export from the Union subject to duties</v>
      </c>
      <c r="Z3" s="49" t="s">
        <v>165</v>
      </c>
      <c r="AA3" s="49" t="s">
        <v>166</v>
      </c>
      <c r="AB3" s="49" t="str">
        <f>CONCATENATE(Z3,"-",AA3)</f>
        <v>02-Part of the Summary Declaration</v>
      </c>
      <c r="AD3" s="76" t="s">
        <v>167</v>
      </c>
      <c r="AE3" s="51"/>
      <c r="AF3" s="52" t="s">
        <v>168</v>
      </c>
      <c r="AG3" s="52" t="s">
        <v>169</v>
      </c>
      <c r="AH3" s="53" t="str">
        <f t="shared" si="5"/>
        <v>04021-Invoice</v>
      </c>
      <c r="AJ3" s="54" t="s">
        <v>170</v>
      </c>
      <c r="AK3" s="54" t="s">
        <v>171</v>
      </c>
      <c r="AL3" s="55" t="str">
        <f t="shared" ref="AL3:AL17" si="6">CONCATENATE(AJ3,"-",AK3)</f>
        <v>CIF-Cost, Insurance and Freight</v>
      </c>
      <c r="AN3" s="56" t="s">
        <v>172</v>
      </c>
      <c r="AO3" s="57" t="s">
        <v>173</v>
      </c>
      <c r="AP3" s="57" t="str">
        <f t="shared" ref="AP3:AP14" si="7">CONCATENATE(AN3,"-",AO3)</f>
        <v>2-Cash Payment</v>
      </c>
      <c r="AR3" s="58" t="s">
        <v>174</v>
      </c>
      <c r="AS3" s="60" t="s">
        <v>175</v>
      </c>
      <c r="AT3" s="60" t="str">
        <f t="shared" ref="AT3:AT30" si="8">CONCATENATE(AR3,"-",AS3)</f>
        <v>12-Transactions in which the Property of the Goods has been transferred in monetary or other terms - Consignment Sales or Broker Sales</v>
      </c>
      <c r="AV3" s="61" t="s">
        <v>176</v>
      </c>
      <c r="AW3" s="62" t="s">
        <v>177</v>
      </c>
      <c r="AX3" s="63" t="str">
        <f t="shared" ref="AX3:AX66" si="9">CONCATENATE(AV3,"-",AW3)</f>
        <v>F02-AHL FREE ZONE</v>
      </c>
      <c r="AZ3" s="64" t="s">
        <v>178</v>
      </c>
      <c r="BA3" s="77" t="s">
        <v>179</v>
      </c>
      <c r="BB3" s="66" t="str">
        <f>CONCATENATE(AZ3,"-",BA3)</f>
        <v>ASVX-%vol per hectolitre</v>
      </c>
      <c r="BD3" s="67" t="s">
        <v>180</v>
      </c>
      <c r="BE3" s="78" t="s">
        <v>181</v>
      </c>
      <c r="BF3" s="69" t="str">
        <f t="shared" ref="BF3:BF18" si="10">CONCATENATE(BD3,"-",BE3)</f>
        <v>N955-ATA carnet</v>
      </c>
      <c r="BH3" s="70" t="s">
        <v>182</v>
      </c>
      <c r="BI3" s="79" t="s">
        <v>183</v>
      </c>
      <c r="BJ3" s="72" t="str">
        <f t="shared" ref="BJ3:BJ50" si="11">CONCATENATE(BH3,"-",BI3)</f>
        <v>Y028-Carrier (AEO certificate number)</v>
      </c>
    </row>
    <row r="4" spans="2:62" ht="15" customHeight="1">
      <c r="B4" s="73" t="s">
        <v>184</v>
      </c>
      <c r="C4" s="74" t="s">
        <v>185</v>
      </c>
      <c r="D4" s="75" t="str">
        <f t="shared" si="0"/>
        <v>1D-Drum, plywood</v>
      </c>
      <c r="F4" s="39" t="s">
        <v>186</v>
      </c>
      <c r="G4" s="39" t="s">
        <v>187</v>
      </c>
      <c r="H4" s="40" t="str">
        <f t="shared" si="1"/>
        <v>XAU-Gold (oz.)</v>
      </c>
      <c r="J4" s="126" t="s">
        <v>188</v>
      </c>
      <c r="K4" s="42" t="s">
        <v>189</v>
      </c>
      <c r="L4" s="41" t="str">
        <f t="shared" si="2"/>
        <v>N852-Analysis and health certificate</v>
      </c>
      <c r="N4" s="43" t="s">
        <v>190</v>
      </c>
      <c r="O4" s="44" t="s">
        <v>191</v>
      </c>
      <c r="P4" s="45" t="str">
        <f t="shared" si="3"/>
        <v>AF-Afghanistan</v>
      </c>
      <c r="R4" s="80" t="s">
        <v>192</v>
      </c>
      <c r="S4" s="80" t="s">
        <v>193</v>
      </c>
      <c r="T4" s="46" t="str">
        <f t="shared" si="4"/>
        <v>C612-Internal Community transit Declaration — Article 227 of the Code</v>
      </c>
      <c r="V4" s="47" t="s">
        <v>194</v>
      </c>
      <c r="W4" s="47" t="s">
        <v>195</v>
      </c>
      <c r="X4" s="48" t="str">
        <f>CONCATENATE(V4,"-",W4)</f>
        <v>20100-Export from one EFTA country subject to restriction or export from the Union subject to restriction</v>
      </c>
      <c r="Z4" s="49" t="s">
        <v>196</v>
      </c>
      <c r="AA4" s="49" t="s">
        <v>197</v>
      </c>
      <c r="AB4" s="49" t="str">
        <f>CONCATENATE(Z4,"-",AA4)</f>
        <v>03-Part of the Transport Document</v>
      </c>
      <c r="AE4" s="51"/>
      <c r="AF4" s="52" t="s">
        <v>198</v>
      </c>
      <c r="AG4" s="52" t="s">
        <v>199</v>
      </c>
      <c r="AH4" s="53" t="str">
        <f t="shared" si="5"/>
        <v>04025-Proforma invoice</v>
      </c>
      <c r="AJ4" s="54" t="s">
        <v>200</v>
      </c>
      <c r="AK4" s="54" t="s">
        <v>201</v>
      </c>
      <c r="AL4" s="55" t="str">
        <f t="shared" si="6"/>
        <v>CIP-Carriage and Insurance Paid To</v>
      </c>
      <c r="AN4" s="56" t="s">
        <v>202</v>
      </c>
      <c r="AO4" s="57" t="s">
        <v>203</v>
      </c>
      <c r="AP4" s="57" t="str">
        <f t="shared" si="7"/>
        <v>3-Cash Against Documents</v>
      </c>
      <c r="AR4" s="58" t="s">
        <v>204</v>
      </c>
      <c r="AS4" s="60" t="s">
        <v>205</v>
      </c>
      <c r="AT4" s="60" t="str">
        <f t="shared" si="8"/>
        <v>13-Transactions in which the Property of the Goods has been transferred in monetary or other terms - Exchange</v>
      </c>
      <c r="AV4" s="61" t="s">
        <v>206</v>
      </c>
      <c r="AW4" s="62" t="s">
        <v>207</v>
      </c>
      <c r="AX4" s="63" t="str">
        <f t="shared" si="9"/>
        <v>F03-İstanbul Industry and Trade FREE ZONE</v>
      </c>
      <c r="AZ4" s="64" t="s">
        <v>208</v>
      </c>
      <c r="BA4" s="77" t="s">
        <v>209</v>
      </c>
      <c r="BB4" s="66" t="str">
        <f>CONCATENATE(AZ4,"-",BA4)</f>
        <v>CCT-Carrying capacity in metric tonnes</v>
      </c>
      <c r="BD4" s="67" t="s">
        <v>210</v>
      </c>
      <c r="BE4" s="78" t="s">
        <v>211</v>
      </c>
      <c r="BF4" s="69" t="str">
        <f t="shared" si="10"/>
        <v>N705-Bill of lading</v>
      </c>
      <c r="BH4" s="70" t="s">
        <v>212</v>
      </c>
      <c r="BI4" s="79" t="s">
        <v>213</v>
      </c>
      <c r="BJ4" s="72" t="str">
        <f t="shared" si="11"/>
        <v>Y023-Consignee (AEO certificate number)</v>
      </c>
    </row>
    <row r="5" spans="2:62" ht="15" customHeight="1">
      <c r="B5" s="73" t="s">
        <v>214</v>
      </c>
      <c r="C5" s="74" t="s">
        <v>215</v>
      </c>
      <c r="D5" s="75" t="str">
        <f t="shared" si="0"/>
        <v>1F-Contenedor flexible</v>
      </c>
      <c r="F5" s="39" t="s">
        <v>216</v>
      </c>
      <c r="G5" s="39" t="s">
        <v>217</v>
      </c>
      <c r="H5" s="40" t="str">
        <f t="shared" si="1"/>
        <v>AOA-Kwanza</v>
      </c>
      <c r="J5" s="126" t="s">
        <v>218</v>
      </c>
      <c r="K5" s="42" t="s">
        <v>219</v>
      </c>
      <c r="L5" s="41" t="str">
        <f t="shared" si="2"/>
        <v>N018-ATR certificate</v>
      </c>
      <c r="N5" s="43" t="s">
        <v>220</v>
      </c>
      <c r="O5" s="44" t="s">
        <v>221</v>
      </c>
      <c r="P5" s="45" t="str">
        <f t="shared" si="3"/>
        <v>AG-Antigua and Barbuda</v>
      </c>
      <c r="R5" s="80" t="s">
        <v>222</v>
      </c>
      <c r="S5" s="80" t="s">
        <v>223</v>
      </c>
      <c r="T5" s="46" t="str">
        <f t="shared" si="4"/>
        <v>C620-Proof of the customs status of Union goods T2LF</v>
      </c>
      <c r="V5" s="47" t="s">
        <v>224</v>
      </c>
      <c r="W5" s="47" t="s">
        <v>225</v>
      </c>
      <c r="X5" s="48" t="str">
        <f>CONCATENATE(V5,"-",W5)</f>
        <v>30600-In EXS, where negotiable bills of lading to order blank endorsed are concerned and the consignee particulars are unknown.</v>
      </c>
      <c r="Z5" s="49" t="s">
        <v>226</v>
      </c>
      <c r="AA5" s="49" t="s">
        <v>227</v>
      </c>
      <c r="AB5" s="49" t="str">
        <f>CONCATENATE(Z5,"-",AA5)</f>
        <v>EX-Export Declaration</v>
      </c>
      <c r="AE5" s="51"/>
      <c r="AF5" s="52" t="s">
        <v>228</v>
      </c>
      <c r="AG5" s="52" t="s">
        <v>229</v>
      </c>
      <c r="AH5" s="53" t="str">
        <f t="shared" si="5"/>
        <v>01206-Certificater of state registration SGR</v>
      </c>
      <c r="AJ5" s="54" t="s">
        <v>230</v>
      </c>
      <c r="AK5" s="54" t="s">
        <v>231</v>
      </c>
      <c r="AL5" s="55" t="str">
        <f t="shared" si="6"/>
        <v>CPT-Carriage Paid To</v>
      </c>
      <c r="AN5" s="56" t="s">
        <v>232</v>
      </c>
      <c r="AO5" s="57" t="s">
        <v>233</v>
      </c>
      <c r="AP5" s="57" t="str">
        <f t="shared" si="7"/>
        <v>4-Cash Payment (In Paper)</v>
      </c>
      <c r="AR5" s="58" t="s">
        <v>234</v>
      </c>
      <c r="AS5" s="60" t="s">
        <v>235</v>
      </c>
      <c r="AT5" s="60" t="str">
        <f t="shared" si="8"/>
        <v>14-Transactions in which the Property of the Goods has been transferred in monetary or other terms - Personal Purchasing of Passengers</v>
      </c>
      <c r="AV5" s="61" t="s">
        <v>236</v>
      </c>
      <c r="AW5" s="62" t="s">
        <v>237</v>
      </c>
      <c r="AX5" s="63" t="str">
        <f t="shared" si="9"/>
        <v>F04-EGE FREE ZONE</v>
      </c>
      <c r="AZ5" s="64" t="s">
        <v>238</v>
      </c>
      <c r="BA5" s="77" t="s">
        <v>239</v>
      </c>
      <c r="BB5" s="66" t="str">
        <f t="shared" ref="BB5:BB68" si="12">CONCATENATE(AZ5,"-",BA5)</f>
        <v>CEN-Hundred items</v>
      </c>
      <c r="BD5" s="67" t="s">
        <v>240</v>
      </c>
      <c r="BE5" s="78" t="s">
        <v>241</v>
      </c>
      <c r="BF5" s="69" t="str">
        <f t="shared" si="10"/>
        <v>N787-Bordereau (cargo load list)</v>
      </c>
      <c r="BH5" s="70" t="s">
        <v>242</v>
      </c>
      <c r="BI5" s="79" t="s">
        <v>243</v>
      </c>
      <c r="BJ5" s="72" t="str">
        <f t="shared" si="11"/>
        <v>Y022-Consignor / exporter (AEO certificate number)</v>
      </c>
    </row>
    <row r="6" spans="2:62" ht="15" customHeight="1">
      <c r="B6" s="73" t="s">
        <v>244</v>
      </c>
      <c r="C6" s="74" t="s">
        <v>245</v>
      </c>
      <c r="D6" s="75" t="str">
        <f t="shared" si="0"/>
        <v>1G-Drum, fibre</v>
      </c>
      <c r="F6" s="39" t="s">
        <v>246</v>
      </c>
      <c r="G6" s="39" t="s">
        <v>247</v>
      </c>
      <c r="H6" s="40" t="str">
        <f t="shared" si="1"/>
        <v>XCD-East Carribbean Dollar</v>
      </c>
      <c r="J6" s="126" t="s">
        <v>248</v>
      </c>
      <c r="K6" s="42" t="s">
        <v>249</v>
      </c>
      <c r="L6" s="41" t="str">
        <f t="shared" si="2"/>
        <v>N933-Cargo declaration (arrival)</v>
      </c>
      <c r="N6" s="43" t="s">
        <v>250</v>
      </c>
      <c r="O6" s="44" t="s">
        <v>251</v>
      </c>
      <c r="P6" s="45" t="str">
        <f t="shared" si="3"/>
        <v>AI-Anguilla</v>
      </c>
      <c r="R6" s="80" t="s">
        <v>126</v>
      </c>
      <c r="S6" s="80" t="s">
        <v>252</v>
      </c>
      <c r="T6" s="46" t="str">
        <f t="shared" si="4"/>
        <v>C651-AAD - Administrative Accompanying Document (EMCS)</v>
      </c>
      <c r="V6" s="81" t="s">
        <v>253</v>
      </c>
      <c r="W6" s="47" t="s">
        <v>254</v>
      </c>
      <c r="X6" s="48" t="str">
        <f t="shared" ref="X6:X7" si="13">CONCATENATE(V6,"-",W6)</f>
        <v>FSA-This is used for dutyfree movements.</v>
      </c>
      <c r="Z6" s="82" t="s">
        <v>255</v>
      </c>
      <c r="AA6" s="82" t="s">
        <v>256</v>
      </c>
      <c r="AB6" s="82" t="str">
        <f>CONCATENATE(Z6,"-",AA6)</f>
        <v>ET-ETGB</v>
      </c>
      <c r="AE6" s="51"/>
      <c r="AF6" s="52" t="s">
        <v>257</v>
      </c>
      <c r="AG6" s="52" t="s">
        <v>258</v>
      </c>
      <c r="AH6" s="53" t="str">
        <f t="shared" si="5"/>
        <v>02024-TIR carnet</v>
      </c>
      <c r="AJ6" s="54" t="s">
        <v>259</v>
      </c>
      <c r="AK6" s="54" t="s">
        <v>260</v>
      </c>
      <c r="AL6" s="55" t="str">
        <f t="shared" si="6"/>
        <v>DAF-	Delivered At Frontier</v>
      </c>
      <c r="AN6" s="56" t="s">
        <v>261</v>
      </c>
      <c r="AO6" s="57" t="s">
        <v>262</v>
      </c>
      <c r="AP6" s="57" t="str">
        <f t="shared" si="7"/>
        <v>6-Deferred Payment Credit</v>
      </c>
      <c r="AR6" s="58" t="s">
        <v>263</v>
      </c>
      <c r="AS6" s="60" t="s">
        <v>264</v>
      </c>
      <c r="AT6" s="60" t="str">
        <f t="shared" si="8"/>
        <v>15-Transactions in which the Property of the Goods has been transferred in monetary or other terms - Financial Leasing</v>
      </c>
      <c r="AV6" s="61" t="s">
        <v>265</v>
      </c>
      <c r="AW6" s="62" t="s">
        <v>266</v>
      </c>
      <c r="AX6" s="63" t="str">
        <f t="shared" si="9"/>
        <v>F05-MERSİN FREE ZONE</v>
      </c>
      <c r="AZ6" s="64" t="s">
        <v>267</v>
      </c>
      <c r="BA6" s="77" t="s">
        <v>268</v>
      </c>
      <c r="BB6" s="66" t="str">
        <f t="shared" si="12"/>
        <v>CTM-Carats (one metric carat = 2 x 10-4kg)</v>
      </c>
      <c r="BD6" s="67" t="s">
        <v>269</v>
      </c>
      <c r="BE6" s="78" t="s">
        <v>270</v>
      </c>
      <c r="BF6" s="69" t="str">
        <f t="shared" si="10"/>
        <v>N785-Cargo manifest</v>
      </c>
      <c r="BH6" s="70" t="s">
        <v>271</v>
      </c>
      <c r="BI6" s="79" t="s">
        <v>272</v>
      </c>
      <c r="BJ6" s="72" t="str">
        <f t="shared" si="11"/>
        <v>Y117-Dangerous product — release for free circulation not authorised — Regulation (EU) 2019/1020, Art. 28(1)</v>
      </c>
    </row>
    <row r="7" spans="2:62" ht="15" customHeight="1">
      <c r="B7" s="73" t="s">
        <v>273</v>
      </c>
      <c r="C7" s="74" t="s">
        <v>274</v>
      </c>
      <c r="D7" s="75" t="str">
        <f t="shared" si="0"/>
        <v>1W-Drum, wooden</v>
      </c>
      <c r="F7" s="39" t="s">
        <v>246</v>
      </c>
      <c r="G7" s="39" t="s">
        <v>247</v>
      </c>
      <c r="H7" s="40" t="str">
        <f t="shared" si="1"/>
        <v>XCD-East Carribbean Dollar</v>
      </c>
      <c r="J7" s="126" t="s">
        <v>275</v>
      </c>
      <c r="K7" s="42" t="s">
        <v>276</v>
      </c>
      <c r="L7" s="41" t="str">
        <f t="shared" si="2"/>
        <v>C673-Catch certificate</v>
      </c>
      <c r="N7" s="43" t="s">
        <v>277</v>
      </c>
      <c r="O7" s="44" t="s">
        <v>278</v>
      </c>
      <c r="P7" s="45" t="str">
        <f t="shared" si="3"/>
        <v>AL-Albania</v>
      </c>
      <c r="R7" s="80" t="s">
        <v>279</v>
      </c>
      <c r="S7" s="80" t="s">
        <v>280</v>
      </c>
      <c r="T7" s="46" t="str">
        <f t="shared" si="4"/>
        <v>C658-FAD - Fallback e-AD (EMCS)</v>
      </c>
      <c r="V7" s="83" t="s">
        <v>281</v>
      </c>
      <c r="W7" s="83" t="s">
        <v>282</v>
      </c>
      <c r="X7" s="84" t="str">
        <f t="shared" si="13"/>
        <v>PTT-This used for Post and Telegraph Organization.</v>
      </c>
      <c r="AE7" s="51"/>
      <c r="AF7" s="52" t="s">
        <v>283</v>
      </c>
      <c r="AG7" s="52" t="s">
        <v>226</v>
      </c>
      <c r="AH7" s="53" t="str">
        <f t="shared" si="5"/>
        <v>09015-EX</v>
      </c>
      <c r="AJ7" s="54" t="s">
        <v>284</v>
      </c>
      <c r="AK7" s="54" t="s">
        <v>285</v>
      </c>
      <c r="AL7" s="55" t="str">
        <f t="shared" si="6"/>
        <v>DAP-	Delivered At Place</v>
      </c>
      <c r="AN7" s="56" t="s">
        <v>286</v>
      </c>
      <c r="AO7" s="57" t="s">
        <v>287</v>
      </c>
      <c r="AP7" s="57" t="str">
        <f t="shared" si="7"/>
        <v>7-Free of Charge</v>
      </c>
      <c r="AR7" s="58" t="s">
        <v>288</v>
      </c>
      <c r="AS7" s="60" t="s">
        <v>289</v>
      </c>
      <c r="AT7" s="60" t="str">
        <f t="shared" si="8"/>
        <v>19-Transactions in which the Property of the Goods has been transferred in monetary or other terms - Other</v>
      </c>
      <c r="AV7" s="61" t="s">
        <v>290</v>
      </c>
      <c r="AW7" s="62" t="s">
        <v>291</v>
      </c>
      <c r="AX7" s="63" t="str">
        <f t="shared" si="9"/>
        <v>F06-TRAKYA FREE ZONE</v>
      </c>
      <c r="AZ7" s="64" t="s">
        <v>284</v>
      </c>
      <c r="BA7" s="77" t="s">
        <v>292</v>
      </c>
      <c r="BB7" s="66" t="str">
        <f t="shared" si="12"/>
        <v>DAP-Decatonne, corrected according to polarisation</v>
      </c>
      <c r="BD7" s="67" t="s">
        <v>293</v>
      </c>
      <c r="BE7" s="78" t="s">
        <v>294</v>
      </c>
      <c r="BF7" s="69" t="str">
        <f t="shared" si="10"/>
        <v>N720-Consignment note CIM</v>
      </c>
      <c r="BH7" s="70" t="s">
        <v>295</v>
      </c>
      <c r="BI7" s="79" t="s">
        <v>296</v>
      </c>
      <c r="BJ7" s="72" t="str">
        <f t="shared" si="11"/>
        <v>Y024-Declarant (AEO certificate number)</v>
      </c>
    </row>
    <row r="8" spans="2:62" ht="15" customHeight="1">
      <c r="B8" s="73" t="s">
        <v>297</v>
      </c>
      <c r="C8" s="74" t="s">
        <v>298</v>
      </c>
      <c r="D8" s="75" t="str">
        <f t="shared" si="0"/>
        <v>2C-Barrel, wooden</v>
      </c>
      <c r="F8" s="39" t="s">
        <v>299</v>
      </c>
      <c r="G8" s="39" t="s">
        <v>300</v>
      </c>
      <c r="H8" s="40" t="str">
        <f t="shared" si="1"/>
        <v>ARS-Argentine Peso</v>
      </c>
      <c r="J8" s="126" t="s">
        <v>301</v>
      </c>
      <c r="K8" s="42" t="s">
        <v>302</v>
      </c>
      <c r="L8" s="41" t="str">
        <f t="shared" si="2"/>
        <v>N865-Certificate of origin Form A</v>
      </c>
      <c r="N8" s="43" t="s">
        <v>303</v>
      </c>
      <c r="O8" s="44" t="s">
        <v>304</v>
      </c>
      <c r="P8" s="45" t="str">
        <f t="shared" si="3"/>
        <v>AM-Armenia</v>
      </c>
      <c r="R8" s="80" t="s">
        <v>305</v>
      </c>
      <c r="S8" s="80" t="s">
        <v>306</v>
      </c>
      <c r="T8" s="46" t="str">
        <f t="shared" si="4"/>
        <v>C710-Information sheet</v>
      </c>
      <c r="AE8" s="51"/>
      <c r="AF8" s="52" t="s">
        <v>307</v>
      </c>
      <c r="AG8" s="52" t="s">
        <v>308</v>
      </c>
      <c r="AH8" s="53" t="str">
        <f t="shared" si="5"/>
        <v>01207-Phytosanitary certificate</v>
      </c>
      <c r="AJ8" s="54" t="s">
        <v>309</v>
      </c>
      <c r="AK8" s="54" t="s">
        <v>310</v>
      </c>
      <c r="AL8" s="55" t="str">
        <f t="shared" si="6"/>
        <v>DAT-	Delivered At Terminal</v>
      </c>
      <c r="AN8" s="56" t="s">
        <v>143</v>
      </c>
      <c r="AO8" s="57" t="s">
        <v>311</v>
      </c>
      <c r="AP8" s="57" t="str">
        <f t="shared" si="7"/>
        <v>11-Private Barter</v>
      </c>
      <c r="AR8" s="58" t="s">
        <v>312</v>
      </c>
      <c r="AS8" s="60" t="s">
        <v>313</v>
      </c>
      <c r="AT8" s="60" t="str">
        <f t="shared" si="8"/>
        <v>21-Return of Goods-Returned Goods</v>
      </c>
      <c r="AV8" s="61" t="s">
        <v>314</v>
      </c>
      <c r="AW8" s="62" t="s">
        <v>315</v>
      </c>
      <c r="AX8" s="63" t="str">
        <f t="shared" si="9"/>
        <v>F07-TRABZON FREE ZONE</v>
      </c>
      <c r="AZ8" s="64" t="s">
        <v>316</v>
      </c>
      <c r="BA8" s="77" t="s">
        <v>317</v>
      </c>
      <c r="BB8" s="66" t="str">
        <f t="shared" si="12"/>
        <v>DHS-Kilogram of dihydrostreptomycin</v>
      </c>
      <c r="BD8" s="67" t="s">
        <v>318</v>
      </c>
      <c r="BE8" s="78" t="s">
        <v>319</v>
      </c>
      <c r="BF8" s="69" t="str">
        <f t="shared" si="10"/>
        <v>N235-Container list</v>
      </c>
      <c r="BH8" s="70" t="s">
        <v>320</v>
      </c>
      <c r="BI8" s="79" t="s">
        <v>321</v>
      </c>
      <c r="BJ8" s="72" t="str">
        <f t="shared" si="11"/>
        <v>Y903-Declared goods are not included in the list of cultural goods</v>
      </c>
    </row>
    <row r="9" spans="2:62" ht="15" customHeight="1">
      <c r="B9" s="73" t="s">
        <v>322</v>
      </c>
      <c r="C9" s="74" t="s">
        <v>323</v>
      </c>
      <c r="D9" s="75" t="str">
        <f t="shared" si="0"/>
        <v>3A-Jerrycan, steel</v>
      </c>
      <c r="F9" s="39" t="s">
        <v>324</v>
      </c>
      <c r="G9" s="39" t="s">
        <v>325</v>
      </c>
      <c r="H9" s="40" t="str">
        <f t="shared" si="1"/>
        <v>ALL-Albanian Lek</v>
      </c>
      <c r="J9" s="126" t="s">
        <v>326</v>
      </c>
      <c r="K9" s="42" t="s">
        <v>327</v>
      </c>
      <c r="L9" s="41" t="str">
        <f t="shared" si="2"/>
        <v>N003-Certificate of quality</v>
      </c>
      <c r="N9" s="43" t="s">
        <v>134</v>
      </c>
      <c r="O9" s="44" t="s">
        <v>328</v>
      </c>
      <c r="P9" s="45" t="str">
        <f t="shared" si="3"/>
        <v>AN-Netherlands Antilles</v>
      </c>
      <c r="R9" s="80" t="s">
        <v>329</v>
      </c>
      <c r="S9" s="80" t="s">
        <v>330</v>
      </c>
      <c r="T9" s="46" t="str">
        <f t="shared" si="4"/>
        <v>DIZP-Exit Disposition</v>
      </c>
      <c r="AE9" s="51"/>
      <c r="AF9" s="52" t="s">
        <v>331</v>
      </c>
      <c r="AG9" s="52" t="s">
        <v>332</v>
      </c>
      <c r="AH9" s="53" t="str">
        <f t="shared" si="5"/>
        <v>01201-Veterinary certificate</v>
      </c>
      <c r="AJ9" s="54" t="s">
        <v>333</v>
      </c>
      <c r="AK9" s="54" t="s">
        <v>334</v>
      </c>
      <c r="AL9" s="55" t="str">
        <f t="shared" si="6"/>
        <v>DDP-	Delivered Duty Paid</v>
      </c>
      <c r="AN9" s="56" t="s">
        <v>174</v>
      </c>
      <c r="AO9" s="57" t="s">
        <v>335</v>
      </c>
      <c r="AP9" s="57" t="str">
        <f t="shared" si="7"/>
        <v>12-Letter of Credit</v>
      </c>
      <c r="AR9" s="58" t="s">
        <v>336</v>
      </c>
      <c r="AS9" s="60" t="s">
        <v>337</v>
      </c>
      <c r="AT9" s="60" t="str">
        <f t="shared" si="8"/>
        <v>22-Replacement of Returned Goods</v>
      </c>
      <c r="AV9" s="61" t="s">
        <v>338</v>
      </c>
      <c r="AW9" s="62" t="s">
        <v>339</v>
      </c>
      <c r="AX9" s="63" t="str">
        <f t="shared" si="9"/>
        <v>F09-MARDİN FREE ZONE</v>
      </c>
      <c r="AZ9" s="64" t="s">
        <v>340</v>
      </c>
      <c r="BA9" s="77" t="s">
        <v>341</v>
      </c>
      <c r="BB9" s="66" t="str">
        <f t="shared" si="12"/>
        <v>DTN-Hectokilogram</v>
      </c>
      <c r="BD9" s="67" t="s">
        <v>342</v>
      </c>
      <c r="BE9" s="78" t="s">
        <v>343</v>
      </c>
      <c r="BF9" s="69" t="str">
        <f t="shared" si="10"/>
        <v>N714-House bill of lading</v>
      </c>
      <c r="BH9" s="70" t="s">
        <v>344</v>
      </c>
      <c r="BI9" s="79" t="s">
        <v>345</v>
      </c>
      <c r="BJ9" s="72" t="str">
        <f t="shared" si="11"/>
        <v>Y900-Declared goods do not belong to the Washington Convention (CITES)</v>
      </c>
    </row>
    <row r="10" spans="2:62" ht="15" customHeight="1">
      <c r="B10" s="73" t="s">
        <v>346</v>
      </c>
      <c r="C10" s="74" t="s">
        <v>347</v>
      </c>
      <c r="D10" s="75" t="str">
        <f t="shared" si="0"/>
        <v>3H-Jerrycan, plastic</v>
      </c>
      <c r="F10" s="39" t="s">
        <v>348</v>
      </c>
      <c r="G10" s="39" t="s">
        <v>349</v>
      </c>
      <c r="H10" s="40" t="str">
        <f t="shared" si="1"/>
        <v>AWG-Aruban  Guilder</v>
      </c>
      <c r="J10" s="126" t="s">
        <v>350</v>
      </c>
      <c r="K10" s="42" t="s">
        <v>351</v>
      </c>
      <c r="L10" s="41" t="str">
        <f t="shared" si="2"/>
        <v>C640-CHED-A</v>
      </c>
      <c r="N10" s="43" t="s">
        <v>352</v>
      </c>
      <c r="O10" s="44" t="s">
        <v>353</v>
      </c>
      <c r="P10" s="45" t="str">
        <f t="shared" si="3"/>
        <v>AO-Angola</v>
      </c>
      <c r="R10" s="80" t="s">
        <v>318</v>
      </c>
      <c r="S10" s="80" t="s">
        <v>319</v>
      </c>
      <c r="T10" s="46" t="str">
        <f t="shared" si="4"/>
        <v>N235-Container list</v>
      </c>
      <c r="AE10" s="51"/>
      <c r="AF10" s="52" t="s">
        <v>354</v>
      </c>
      <c r="AG10" s="52" t="s">
        <v>355</v>
      </c>
      <c r="AH10" s="53" t="str">
        <f t="shared" si="5"/>
        <v xml:space="preserve">09024-Certificate of approval of a vehicle - international carriage of goods </v>
      </c>
      <c r="AJ10" s="54" t="s">
        <v>356</v>
      </c>
      <c r="AK10" s="54" t="s">
        <v>357</v>
      </c>
      <c r="AL10" s="55" t="str">
        <f t="shared" si="6"/>
        <v>DDU-	Delivered Duty Unpaid</v>
      </c>
      <c r="AN10" s="56" t="s">
        <v>204</v>
      </c>
      <c r="AO10" s="57" t="s">
        <v>358</v>
      </c>
      <c r="AP10" s="57" t="str">
        <f t="shared" si="7"/>
        <v>13-Counter Purchase</v>
      </c>
      <c r="AR10" s="58" t="s">
        <v>359</v>
      </c>
      <c r="AS10" s="60" t="s">
        <v>360</v>
      </c>
      <c r="AT10" s="60" t="str">
        <f t="shared" si="8"/>
        <v>23-Replacement of Returned Goods Without Returning Goods (Example: Under Warranty)</v>
      </c>
      <c r="AV10" s="61" t="s">
        <v>361</v>
      </c>
      <c r="AW10" s="62" t="s">
        <v>362</v>
      </c>
      <c r="AX10" s="63" t="str">
        <f t="shared" si="9"/>
        <v>F10-RİZE FREE ZONE</v>
      </c>
      <c r="AZ10" s="64" t="s">
        <v>363</v>
      </c>
      <c r="BA10" s="77" t="s">
        <v>364</v>
      </c>
      <c r="BB10" s="66" t="str">
        <f t="shared" si="12"/>
        <v>DTNE-Hectokilogram of drained net weight</v>
      </c>
      <c r="BD10" s="67" t="s">
        <v>365</v>
      </c>
      <c r="BE10" s="78" t="s">
        <v>366</v>
      </c>
      <c r="BF10" s="69" t="str">
        <f t="shared" si="10"/>
        <v>N703-House waybill</v>
      </c>
      <c r="BH10" s="70" t="s">
        <v>126</v>
      </c>
      <c r="BI10" s="79" t="s">
        <v>367</v>
      </c>
      <c r="BJ10" s="72" t="str">
        <f t="shared" si="11"/>
        <v>C651-Electronic administrative document (e-AD), as referred to in Article 3(1) of Reg. (EC) No 684/2009</v>
      </c>
    </row>
    <row r="11" spans="2:62" ht="15" customHeight="1">
      <c r="B11" s="73" t="s">
        <v>368</v>
      </c>
      <c r="C11" s="74" t="s">
        <v>369</v>
      </c>
      <c r="D11" s="75" t="str">
        <f t="shared" si="0"/>
        <v>43-Bag, super bulk</v>
      </c>
      <c r="F11" s="39" t="s">
        <v>370</v>
      </c>
      <c r="G11" s="39" t="s">
        <v>371</v>
      </c>
      <c r="H11" s="40" t="str">
        <f t="shared" si="1"/>
        <v>AUD-Australian Dollar</v>
      </c>
      <c r="J11" s="126" t="s">
        <v>372</v>
      </c>
      <c r="K11" s="42" t="s">
        <v>373</v>
      </c>
      <c r="L11" s="41" t="str">
        <f t="shared" si="2"/>
        <v>C678-CHED - D</v>
      </c>
      <c r="N11" s="43" t="s">
        <v>374</v>
      </c>
      <c r="O11" s="44" t="s">
        <v>375</v>
      </c>
      <c r="P11" s="45" t="str">
        <f t="shared" si="3"/>
        <v>AQ-Antarctica</v>
      </c>
      <c r="R11" s="80" t="s">
        <v>376</v>
      </c>
      <c r="S11" s="80" t="s">
        <v>377</v>
      </c>
      <c r="T11" s="46" t="str">
        <f t="shared" si="4"/>
        <v>N270-Delivery note</v>
      </c>
      <c r="AE11" s="51"/>
      <c r="AF11" s="52" t="s">
        <v>378</v>
      </c>
      <c r="AG11" s="52" t="s">
        <v>379</v>
      </c>
      <c r="AH11" s="53" t="str">
        <f t="shared" si="5"/>
        <v>01011-Export/import licence</v>
      </c>
      <c r="AJ11" s="54" t="s">
        <v>380</v>
      </c>
      <c r="AK11" s="54" t="s">
        <v>381</v>
      </c>
      <c r="AL11" s="55" t="str">
        <f t="shared" si="6"/>
        <v>DEQ-Delivered Ex Quay (Duty Paid)</v>
      </c>
      <c r="AN11" s="56" t="s">
        <v>234</v>
      </c>
      <c r="AO11" s="57" t="s">
        <v>382</v>
      </c>
      <c r="AP11" s="57" t="str">
        <f t="shared" si="7"/>
        <v>14-Acceptance Credit L/C</v>
      </c>
      <c r="AR11" s="58" t="s">
        <v>383</v>
      </c>
      <c r="AS11" s="60" t="s">
        <v>384</v>
      </c>
      <c r="AT11" s="60" t="str">
        <f t="shared" si="8"/>
        <v>29-Return of goods-Return to Consignor</v>
      </c>
      <c r="AV11" s="61" t="s">
        <v>385</v>
      </c>
      <c r="AW11" s="62" t="s">
        <v>386</v>
      </c>
      <c r="AX11" s="63" t="str">
        <f t="shared" si="9"/>
        <v>F11-SAMSUN FREE ZONE</v>
      </c>
      <c r="AZ11" s="64" t="s">
        <v>387</v>
      </c>
      <c r="BA11" s="77" t="s">
        <v>388</v>
      </c>
      <c r="BB11" s="66" t="str">
        <f t="shared" si="12"/>
        <v>DTNF-Hectokilogram of common wheat</v>
      </c>
      <c r="BD11" s="67" t="s">
        <v>389</v>
      </c>
      <c r="BE11" s="78" t="s">
        <v>390</v>
      </c>
      <c r="BF11" s="69" t="str">
        <f t="shared" si="10"/>
        <v>N741-Master airwaybill</v>
      </c>
      <c r="BH11" s="70" t="s">
        <v>391</v>
      </c>
      <c r="BI11" s="79" t="s">
        <v>392</v>
      </c>
      <c r="BJ11" s="72" t="str">
        <f t="shared" si="11"/>
        <v>Y070-Exemption from the requirement of presenting FLEGT licence by virtue of Article 4.3 of Council Regulation (EC) No 2173/2005</v>
      </c>
    </row>
    <row r="12" spans="2:62" ht="15" customHeight="1">
      <c r="B12" s="73" t="s">
        <v>393</v>
      </c>
      <c r="C12" s="74" t="s">
        <v>394</v>
      </c>
      <c r="D12" s="75" t="str">
        <f t="shared" si="0"/>
        <v>44-Saco de plástico (polibag)</v>
      </c>
      <c r="F12" s="39" t="s">
        <v>395</v>
      </c>
      <c r="G12" s="39" t="s">
        <v>396</v>
      </c>
      <c r="H12" s="40" t="str">
        <f t="shared" si="1"/>
        <v>AZN-Azerbaijanian Manat</v>
      </c>
      <c r="J12" s="126" t="s">
        <v>397</v>
      </c>
      <c r="K12" s="42" t="s">
        <v>398</v>
      </c>
      <c r="L12" s="41" t="str">
        <f t="shared" si="2"/>
        <v>N853-CHED-P</v>
      </c>
      <c r="N12" s="43" t="s">
        <v>399</v>
      </c>
      <c r="O12" s="44" t="s">
        <v>400</v>
      </c>
      <c r="P12" s="45" t="str">
        <f t="shared" si="3"/>
        <v>AR-Argentina</v>
      </c>
      <c r="R12" s="80" t="s">
        <v>401</v>
      </c>
      <c r="S12" s="80" t="s">
        <v>402</v>
      </c>
      <c r="T12" s="46" t="str">
        <f t="shared" si="4"/>
        <v>N271-Packing list</v>
      </c>
      <c r="AE12" s="51"/>
      <c r="AF12" s="52" t="s">
        <v>403</v>
      </c>
      <c r="AG12" s="52" t="s">
        <v>404</v>
      </c>
      <c r="AH12" s="53" t="str">
        <f t="shared" si="5"/>
        <v>01017-Permit to export / import licencing goods</v>
      </c>
      <c r="AJ12" s="54" t="s">
        <v>405</v>
      </c>
      <c r="AK12" s="54" t="s">
        <v>406</v>
      </c>
      <c r="AL12" s="55" t="str">
        <f t="shared" si="6"/>
        <v>DES-Delivered Ex Ship</v>
      </c>
      <c r="AN12" s="56" t="s">
        <v>263</v>
      </c>
      <c r="AO12" s="57" t="s">
        <v>407</v>
      </c>
      <c r="AP12" s="57" t="str">
        <f t="shared" si="7"/>
        <v>15-Acceptance Credit Against Documents</v>
      </c>
      <c r="AR12" s="58" t="s">
        <v>408</v>
      </c>
      <c r="AS12" s="60" t="s">
        <v>409</v>
      </c>
      <c r="AT12" s="60" t="str">
        <f t="shared" si="8"/>
        <v>31-Transactions in which the Ownership of the Goods is transferred without monetary or other provision - Aid programs, fully or partially financed by the EU</v>
      </c>
      <c r="AV12" s="61" t="s">
        <v>410</v>
      </c>
      <c r="AW12" s="62" t="s">
        <v>411</v>
      </c>
      <c r="AX12" s="63" t="str">
        <f t="shared" si="9"/>
        <v>F12-KAYSERİ FREE ZONE</v>
      </c>
      <c r="AZ12" s="64" t="s">
        <v>412</v>
      </c>
      <c r="BA12" s="77" t="s">
        <v>413</v>
      </c>
      <c r="BB12" s="66" t="str">
        <f t="shared" si="12"/>
        <v>DTNG-Hectokilogram , gross</v>
      </c>
      <c r="BD12" s="67" t="s">
        <v>414</v>
      </c>
      <c r="BE12" s="78" t="s">
        <v>415</v>
      </c>
      <c r="BF12" s="69" t="str">
        <f t="shared" si="10"/>
        <v>N704-Master bill of lading</v>
      </c>
      <c r="BH12" s="70" t="s">
        <v>416</v>
      </c>
      <c r="BI12" s="79" t="s">
        <v>417</v>
      </c>
      <c r="BJ12" s="72" t="str">
        <f t="shared" si="11"/>
        <v>Y951-Exemptions from the Reduction of the quantity of hydrofluorocarbons placed on the market by virtue of Article 15.2 of Regulation (EU) No 517/2014</v>
      </c>
    </row>
    <row r="13" spans="2:62" ht="15" customHeight="1">
      <c r="B13" s="73" t="s">
        <v>418</v>
      </c>
      <c r="C13" s="74" t="s">
        <v>419</v>
      </c>
      <c r="D13" s="75" t="str">
        <f t="shared" si="0"/>
        <v>4A-Box, steel</v>
      </c>
      <c r="F13" s="39" t="s">
        <v>420</v>
      </c>
      <c r="G13" s="39" t="s">
        <v>421</v>
      </c>
      <c r="H13" s="40" t="str">
        <f t="shared" si="1"/>
        <v>BSD-Bahamian Dollar</v>
      </c>
      <c r="J13" s="126" t="s">
        <v>422</v>
      </c>
      <c r="K13" s="42" t="s">
        <v>423</v>
      </c>
      <c r="L13" s="41" t="str">
        <f t="shared" si="2"/>
        <v>C085-CHED-PP</v>
      </c>
      <c r="N13" s="43" t="s">
        <v>424</v>
      </c>
      <c r="O13" s="44" t="s">
        <v>425</v>
      </c>
      <c r="P13" s="45" t="str">
        <f t="shared" si="3"/>
        <v>AS-American Samoa</v>
      </c>
      <c r="R13" s="80" t="s">
        <v>426</v>
      </c>
      <c r="S13" s="80" t="s">
        <v>199</v>
      </c>
      <c r="T13" s="46" t="str">
        <f t="shared" si="4"/>
        <v>N325-Proforma invoice</v>
      </c>
      <c r="AE13" s="51"/>
      <c r="AF13" s="52" t="s">
        <v>427</v>
      </c>
      <c r="AG13" s="52" t="s">
        <v>428</v>
      </c>
      <c r="AH13" s="53" t="str">
        <f t="shared" si="5"/>
        <v>01061-Permit to import of plant protection products (pesticides)</v>
      </c>
      <c r="AJ13" s="54" t="s">
        <v>429</v>
      </c>
      <c r="AK13" s="54" t="s">
        <v>430</v>
      </c>
      <c r="AL13" s="55" t="str">
        <f t="shared" si="6"/>
        <v>EXW-Ex Works</v>
      </c>
      <c r="AN13" s="56" t="s">
        <v>431</v>
      </c>
      <c r="AO13" s="57" t="s">
        <v>432</v>
      </c>
      <c r="AP13" s="57" t="str">
        <f t="shared" si="7"/>
        <v>16-Acceptance Credit Against Goods</v>
      </c>
      <c r="AR13" s="58" t="s">
        <v>433</v>
      </c>
      <c r="AS13" s="60" t="s">
        <v>434</v>
      </c>
      <c r="AT13" s="60" t="str">
        <f t="shared" si="8"/>
        <v>32-Transactions in which the Ownership of the Goods is transferred without monetary or other provision - General Government Assistance Programs (Public Legal Entities)</v>
      </c>
      <c r="AV13" s="61" t="s">
        <v>435</v>
      </c>
      <c r="AW13" s="62" t="s">
        <v>436</v>
      </c>
      <c r="AX13" s="63" t="str">
        <f t="shared" si="9"/>
        <v>F13-AVRUPA FREE ZONE</v>
      </c>
      <c r="AZ13" s="64" t="s">
        <v>437</v>
      </c>
      <c r="BA13" s="77" t="s">
        <v>438</v>
      </c>
      <c r="BB13" s="66" t="str">
        <f t="shared" si="12"/>
        <v>DTNL-Hectokilogram of live weight</v>
      </c>
      <c r="BD13" s="67" t="s">
        <v>439</v>
      </c>
      <c r="BE13" s="78" t="s">
        <v>440</v>
      </c>
      <c r="BF13" s="69" t="str">
        <f t="shared" si="10"/>
        <v xml:space="preserve">N750-Movement by post including parcel post </v>
      </c>
      <c r="BH13" s="70" t="s">
        <v>279</v>
      </c>
      <c r="BI13" s="79" t="s">
        <v>441</v>
      </c>
      <c r="BJ13" s="72" t="str">
        <f t="shared" si="11"/>
        <v>C658-Fallback Accompanying Document for movements of excise goods under suspension of excise duty (FAD), as referred to in Article 8(1) Reg. (EC) No 684/2009</v>
      </c>
    </row>
    <row r="14" spans="2:62" ht="15" customHeight="1">
      <c r="B14" s="73" t="s">
        <v>442</v>
      </c>
      <c r="C14" s="74" t="s">
        <v>443</v>
      </c>
      <c r="D14" s="75" t="str">
        <f t="shared" si="0"/>
        <v>4B-Box, aluminium</v>
      </c>
      <c r="F14" s="39" t="s">
        <v>444</v>
      </c>
      <c r="G14" s="39" t="s">
        <v>445</v>
      </c>
      <c r="H14" s="40" t="str">
        <f t="shared" si="1"/>
        <v>BHD-Bahraini Dinar</v>
      </c>
      <c r="J14" s="126" t="s">
        <v>446</v>
      </c>
      <c r="K14" s="42" t="s">
        <v>447</v>
      </c>
      <c r="L14" s="41" t="str">
        <f t="shared" si="2"/>
        <v>N380-Commercial Invoice</v>
      </c>
      <c r="N14" s="43" t="s">
        <v>448</v>
      </c>
      <c r="O14" s="44" t="s">
        <v>449</v>
      </c>
      <c r="P14" s="45" t="str">
        <f t="shared" si="3"/>
        <v>AT-Austrian</v>
      </c>
      <c r="R14" s="80" t="s">
        <v>450</v>
      </c>
      <c r="S14" s="80" t="s">
        <v>451</v>
      </c>
      <c r="T14" s="46" t="str">
        <f t="shared" si="4"/>
        <v>N337-Temporary storage declaration</v>
      </c>
      <c r="AE14" s="51"/>
      <c r="AF14" s="52" t="s">
        <v>452</v>
      </c>
      <c r="AG14" s="52" t="s">
        <v>453</v>
      </c>
      <c r="AH14" s="53" t="str">
        <f t="shared" si="5"/>
        <v>01072-Permit to  the transit of toxic substances</v>
      </c>
      <c r="AJ14" s="54" t="s">
        <v>454</v>
      </c>
      <c r="AK14" s="54" t="s">
        <v>455</v>
      </c>
      <c r="AL14" s="55" t="str">
        <f t="shared" si="6"/>
        <v>FAS-Free Alongside Ship</v>
      </c>
      <c r="AN14" s="56" t="s">
        <v>456</v>
      </c>
      <c r="AO14" s="57" t="s">
        <v>457</v>
      </c>
      <c r="AP14" s="57" t="str">
        <f t="shared" si="7"/>
        <v>17-Special Account</v>
      </c>
      <c r="AR14" s="58" t="s">
        <v>458</v>
      </c>
      <c r="AS14" s="60" t="s">
        <v>459</v>
      </c>
      <c r="AT14" s="60" t="str">
        <f t="shared" si="8"/>
        <v>33-Transactions in which the Ownership of the Goods is transferred without monetary or other provision - Other Aid Programs (Private legal entities, natural persons and non-governmental organizations)</v>
      </c>
      <c r="AV14" s="61" t="s">
        <v>460</v>
      </c>
      <c r="AW14" s="62" t="s">
        <v>461</v>
      </c>
      <c r="AX14" s="63" t="str">
        <f t="shared" si="9"/>
        <v>F14-GAZİANTEP FREE ZONE</v>
      </c>
      <c r="AZ14" s="64" t="s">
        <v>462</v>
      </c>
      <c r="BA14" s="77" t="s">
        <v>463</v>
      </c>
      <c r="BB14" s="66" t="str">
        <f t="shared" si="12"/>
        <v>DTNM-Hectokilogram net of dry matter</v>
      </c>
      <c r="BD14" s="67" t="s">
        <v>464</v>
      </c>
      <c r="BE14" s="78" t="s">
        <v>465</v>
      </c>
      <c r="BF14" s="69" t="str">
        <f t="shared" si="10"/>
        <v>N760-Multimodal / combined transport document</v>
      </c>
      <c r="BH14" s="70" t="s">
        <v>466</v>
      </c>
      <c r="BI14" s="79" t="s">
        <v>467</v>
      </c>
      <c r="BJ14" s="72" t="str">
        <f t="shared" si="11"/>
        <v>Y932-Goods benefitting from a derogation to CITES controls according to Article 7(3) of Council Regulation (EC) No 338/97</v>
      </c>
    </row>
    <row r="15" spans="2:62" ht="15" customHeight="1">
      <c r="B15" s="73" t="s">
        <v>468</v>
      </c>
      <c r="C15" s="74" t="s">
        <v>469</v>
      </c>
      <c r="D15" s="75" t="str">
        <f t="shared" si="0"/>
        <v>4C-Box, natural wood</v>
      </c>
      <c r="F15" s="39" t="s">
        <v>470</v>
      </c>
      <c r="G15" s="39" t="s">
        <v>471</v>
      </c>
      <c r="H15" s="40" t="str">
        <f t="shared" si="1"/>
        <v>BDT-Bangladeshi Taka</v>
      </c>
      <c r="J15" s="126" t="s">
        <v>472</v>
      </c>
      <c r="K15" s="42" t="s">
        <v>473</v>
      </c>
      <c r="L15" s="41" t="str">
        <f t="shared" si="2"/>
        <v>N862-Declaration of origin</v>
      </c>
      <c r="N15" s="43" t="s">
        <v>474</v>
      </c>
      <c r="O15" s="44" t="s">
        <v>475</v>
      </c>
      <c r="P15" s="45" t="str">
        <f t="shared" si="3"/>
        <v>AU-Australia</v>
      </c>
      <c r="R15" s="80" t="s">
        <v>476</v>
      </c>
      <c r="S15" s="80" t="s">
        <v>477</v>
      </c>
      <c r="T15" s="46" t="str">
        <f t="shared" si="4"/>
        <v>N355-Entry summary declaration</v>
      </c>
      <c r="AE15" s="51"/>
      <c r="AF15" s="52" t="s">
        <v>478</v>
      </c>
      <c r="AG15" s="52" t="s">
        <v>479</v>
      </c>
      <c r="AH15" s="53" t="str">
        <f t="shared" si="5"/>
        <v>01081-Permit to import pharmaceutical products</v>
      </c>
      <c r="AJ15" s="54" t="s">
        <v>480</v>
      </c>
      <c r="AK15" s="54" t="s">
        <v>481</v>
      </c>
      <c r="AL15" s="55" t="str">
        <f t="shared" si="6"/>
        <v>FCA-Free CARRIER</v>
      </c>
      <c r="AR15" s="58" t="s">
        <v>482</v>
      </c>
      <c r="AS15" s="60" t="s">
        <v>483</v>
      </c>
      <c r="AT15" s="60" t="str">
        <f t="shared" si="8"/>
        <v>41-Goods Arrived / Shipped for Processing and Expected to Return to the First Country of Export (Contracted)</v>
      </c>
      <c r="AV15" s="61" t="s">
        <v>484</v>
      </c>
      <c r="AW15" s="62" t="s">
        <v>485</v>
      </c>
      <c r="AX15" s="63" t="str">
        <f t="shared" si="9"/>
        <v>F15-İzmir FREE ZONE</v>
      </c>
      <c r="AZ15" s="64" t="s">
        <v>486</v>
      </c>
      <c r="BA15" s="77" t="s">
        <v>487</v>
      </c>
      <c r="BB15" s="66" t="str">
        <f t="shared" si="12"/>
        <v>DTNR-Hectokilogram of the standard quality</v>
      </c>
      <c r="BD15" s="67" t="s">
        <v>401</v>
      </c>
      <c r="BE15" s="78" t="s">
        <v>402</v>
      </c>
      <c r="BF15" s="69" t="str">
        <f t="shared" si="10"/>
        <v>N271-Packing list</v>
      </c>
      <c r="BH15" s="70" t="s">
        <v>488</v>
      </c>
      <c r="BI15" s="79" t="s">
        <v>489</v>
      </c>
      <c r="BJ15" s="72" t="str">
        <f t="shared" si="11"/>
        <v>Y931-Goods benefitting from derogation to veterinary controls according to Article 6.1b of Commission Decision (EC) No 275/2007</v>
      </c>
    </row>
    <row r="16" spans="2:62" ht="15" customHeight="1">
      <c r="B16" s="73" t="s">
        <v>490</v>
      </c>
      <c r="C16" s="74" t="s">
        <v>491</v>
      </c>
      <c r="D16" s="75" t="str">
        <f t="shared" si="0"/>
        <v>4D-Box, plywood</v>
      </c>
      <c r="F16" s="39" t="s">
        <v>492</v>
      </c>
      <c r="G16" s="39" t="s">
        <v>493</v>
      </c>
      <c r="H16" s="40" t="str">
        <f t="shared" si="1"/>
        <v>BBD-Barbados Dollar</v>
      </c>
      <c r="J16" s="126" t="s">
        <v>494</v>
      </c>
      <c r="K16" s="42" t="s">
        <v>495</v>
      </c>
      <c r="L16" s="41" t="str">
        <f t="shared" si="2"/>
        <v>C641-Dissostichus - Capture, import document</v>
      </c>
      <c r="N16" s="43" t="s">
        <v>496</v>
      </c>
      <c r="O16" s="44" t="s">
        <v>497</v>
      </c>
      <c r="P16" s="45" t="str">
        <f t="shared" si="3"/>
        <v>AW-Aruba</v>
      </c>
      <c r="R16" s="80" t="s">
        <v>446</v>
      </c>
      <c r="S16" s="80" t="s">
        <v>498</v>
      </c>
      <c r="T16" s="46" t="str">
        <f t="shared" si="4"/>
        <v>N380-Commercial invoice</v>
      </c>
      <c r="AE16" s="51"/>
      <c r="AF16" s="52" t="s">
        <v>499</v>
      </c>
      <c r="AG16" s="52" t="s">
        <v>500</v>
      </c>
      <c r="AH16" s="53" t="str">
        <f t="shared" si="5"/>
        <v>01133-Permit to re-export goods</v>
      </c>
      <c r="AJ16" s="54" t="s">
        <v>501</v>
      </c>
      <c r="AK16" s="54" t="s">
        <v>502</v>
      </c>
      <c r="AL16" s="55" t="str">
        <f t="shared" si="6"/>
        <v>FOB-Free on Board</v>
      </c>
      <c r="AR16" s="58" t="s">
        <v>503</v>
      </c>
      <c r="AS16" s="60" t="s">
        <v>504</v>
      </c>
      <c r="AT16" s="60" t="str">
        <f t="shared" si="8"/>
        <v>42-Goods Arrived / Shipped for Processing and Not Expected to Return to the First Country of Origin (Without Ownership of Goods and Contracted)</v>
      </c>
      <c r="AV16" s="61" t="s">
        <v>505</v>
      </c>
      <c r="AW16" s="62" t="s">
        <v>506</v>
      </c>
      <c r="AX16" s="63" t="str">
        <f t="shared" si="9"/>
        <v>F16-BURSA FREE ZONE</v>
      </c>
      <c r="AZ16" s="64" t="s">
        <v>507</v>
      </c>
      <c r="BA16" s="77" t="s">
        <v>508</v>
      </c>
      <c r="BB16" s="66" t="str">
        <f t="shared" si="12"/>
        <v>DTNS-Hectokilogram of sugar with a yield in white sugar of 92%</v>
      </c>
      <c r="BD16" s="67" t="s">
        <v>509</v>
      </c>
      <c r="BE16" s="78" t="s">
        <v>510</v>
      </c>
      <c r="BF16" s="69" t="str">
        <f t="shared" si="10"/>
        <v>N730-Road consignment note</v>
      </c>
      <c r="BH16" s="70" t="s">
        <v>511</v>
      </c>
      <c r="BI16" s="79" t="s">
        <v>512</v>
      </c>
      <c r="BJ16" s="72" t="str">
        <f t="shared" si="11"/>
        <v>Y054-Goods labelled according to the provisions of Article 12, paragraph 1 of Regulation (EU) No 517/2014</v>
      </c>
    </row>
    <row r="17" spans="2:62" ht="15" customHeight="1">
      <c r="B17" s="73" t="s">
        <v>513</v>
      </c>
      <c r="C17" s="74" t="s">
        <v>514</v>
      </c>
      <c r="D17" s="75" t="str">
        <f t="shared" si="0"/>
        <v>4F-Box, reconstituted wood</v>
      </c>
      <c r="F17" s="39" t="s">
        <v>515</v>
      </c>
      <c r="G17" s="39" t="s">
        <v>516</v>
      </c>
      <c r="H17" s="40" t="str">
        <f t="shared" si="1"/>
        <v>BZD-Belize Dollar</v>
      </c>
      <c r="J17" s="126" t="s">
        <v>517</v>
      </c>
      <c r="K17" s="42" t="s">
        <v>518</v>
      </c>
      <c r="L17" s="41" t="str">
        <f t="shared" si="2"/>
        <v>NZZZ-Document equivalent to ‘ZZZ’ defined in Commission Delegated Regulation (EU) 2016/341 (Appendix D2: Additional codes for the computerised transit system)</v>
      </c>
      <c r="N17" s="43" t="s">
        <v>519</v>
      </c>
      <c r="O17" s="44" t="s">
        <v>520</v>
      </c>
      <c r="P17" s="45" t="str">
        <f t="shared" si="3"/>
        <v>AX-Åland Islands</v>
      </c>
      <c r="R17" s="80" t="s">
        <v>365</v>
      </c>
      <c r="S17" s="80" t="s">
        <v>366</v>
      </c>
      <c r="T17" s="46" t="str">
        <f t="shared" si="4"/>
        <v>N703-House waybill</v>
      </c>
      <c r="AE17" s="51"/>
      <c r="AF17" s="52" t="s">
        <v>521</v>
      </c>
      <c r="AG17" s="52" t="s">
        <v>522</v>
      </c>
      <c r="AH17" s="53" t="str">
        <f t="shared" si="5"/>
        <v xml:space="preserve">01321-Permit to import and / or export of hazardous waste </v>
      </c>
      <c r="AJ17" s="54" t="s">
        <v>523</v>
      </c>
      <c r="AK17" s="54" t="s">
        <v>524</v>
      </c>
      <c r="AL17" s="55" t="str">
        <f t="shared" si="6"/>
        <v>XXX-Other</v>
      </c>
      <c r="AR17" s="58" t="s">
        <v>525</v>
      </c>
      <c r="AS17" s="60" t="s">
        <v>526</v>
      </c>
      <c r="AT17" s="60" t="str">
        <f t="shared" si="8"/>
        <v>51-Goods Arrived / Shipped After Processing and Returned to the First Country of Export (Without Ownership of Goods and Contracted)</v>
      </c>
      <c r="AV17" s="61" t="s">
        <v>527</v>
      </c>
      <c r="AW17" s="62" t="s">
        <v>528</v>
      </c>
      <c r="AX17" s="63" t="str">
        <f t="shared" si="9"/>
        <v>F17-ADANA YUMURTALIK FREE ZONE</v>
      </c>
      <c r="AZ17" s="64" t="s">
        <v>529</v>
      </c>
      <c r="BA17" s="77" t="s">
        <v>530</v>
      </c>
      <c r="BB17" s="66" t="str">
        <f t="shared" si="12"/>
        <v>DTNZ-Hectokilogram per 1% by weight of sucrose</v>
      </c>
      <c r="BD17" s="67" t="s">
        <v>531</v>
      </c>
      <c r="BE17" s="78" t="s">
        <v>532</v>
      </c>
      <c r="BF17" s="69" t="str">
        <f t="shared" si="10"/>
        <v>N722-Road list - SMGS</v>
      </c>
      <c r="BH17" s="70" t="s">
        <v>533</v>
      </c>
      <c r="BI17" s="79" t="s">
        <v>534</v>
      </c>
      <c r="BJ17" s="72" t="str">
        <f t="shared" si="11"/>
        <v>Y926-Goods not concerned by import prohibition on fluorinated greenhouse gases</v>
      </c>
    </row>
    <row r="18" spans="2:62" ht="15" customHeight="1">
      <c r="B18" s="73" t="s">
        <v>535</v>
      </c>
      <c r="C18" s="74" t="s">
        <v>536</v>
      </c>
      <c r="D18" s="75" t="str">
        <f t="shared" si="0"/>
        <v>4G-Box, fibreboard</v>
      </c>
      <c r="F18" s="39" t="s">
        <v>537</v>
      </c>
      <c r="G18" s="39" t="s">
        <v>538</v>
      </c>
      <c r="H18" s="40" t="str">
        <f t="shared" si="1"/>
        <v>XOF-Benin, CFA Franc BCEAO</v>
      </c>
      <c r="J18" s="126" t="s">
        <v>539</v>
      </c>
      <c r="K18" s="42" t="s">
        <v>540</v>
      </c>
      <c r="L18" s="41" t="str">
        <f t="shared" si="2"/>
        <v>N941-Embargo permit</v>
      </c>
      <c r="N18" s="43" t="s">
        <v>541</v>
      </c>
      <c r="O18" s="44" t="s">
        <v>542</v>
      </c>
      <c r="P18" s="45" t="str">
        <f t="shared" si="3"/>
        <v>AZ-Azerbaijan</v>
      </c>
      <c r="R18" s="80" t="s">
        <v>414</v>
      </c>
      <c r="S18" s="80" t="s">
        <v>415</v>
      </c>
      <c r="T18" s="46" t="str">
        <f t="shared" si="4"/>
        <v>N704-Master bill of lading</v>
      </c>
      <c r="AE18" s="51"/>
      <c r="AF18" s="52" t="s">
        <v>543</v>
      </c>
      <c r="AG18" s="52" t="s">
        <v>544</v>
      </c>
      <c r="AH18" s="53" t="str">
        <f t="shared" si="5"/>
        <v>01332-Permit to export a specific consignment of narcotic drugs</v>
      </c>
      <c r="AR18" s="58" t="s">
        <v>545</v>
      </c>
      <c r="AS18" s="60" t="s">
        <v>546</v>
      </c>
      <c r="AT18" s="60" t="str">
        <f t="shared" si="8"/>
        <v>52-Goods Arrived / Shipped After Processing and Returned to a Country Other than the First Issued Country</v>
      </c>
      <c r="AV18" s="61" t="s">
        <v>547</v>
      </c>
      <c r="AW18" s="62" t="s">
        <v>548</v>
      </c>
      <c r="AX18" s="63" t="str">
        <f t="shared" si="9"/>
        <v>F18-TÜBİTAK MAM TEKNOLOJİ FREE ZONE</v>
      </c>
      <c r="AZ18" s="64" t="s">
        <v>549</v>
      </c>
      <c r="BA18" s="77" t="s">
        <v>550</v>
      </c>
      <c r="BB18" s="66" t="str">
        <f t="shared" si="12"/>
        <v>EUR-Euro (used for statistical surveillance)</v>
      </c>
      <c r="BD18" s="85" t="s">
        <v>551</v>
      </c>
      <c r="BE18" s="86" t="s">
        <v>552</v>
      </c>
      <c r="BF18" s="87" t="str">
        <f t="shared" si="10"/>
        <v>N952-TIR Carnet</v>
      </c>
      <c r="BH18" s="70" t="s">
        <v>553</v>
      </c>
      <c r="BI18" s="79" t="s">
        <v>554</v>
      </c>
      <c r="BJ18" s="72" t="str">
        <f t="shared" si="11"/>
        <v>Y053-Goods not concerned by labelling requirements on fluorinated greenhouse gases as referred to Article 12, paragraph 1 of Regulation (EU) No 517/2014</v>
      </c>
    </row>
    <row r="19" spans="2:62" ht="15" customHeight="1">
      <c r="B19" s="73" t="s">
        <v>555</v>
      </c>
      <c r="C19" s="74" t="s">
        <v>556</v>
      </c>
      <c r="D19" s="75" t="str">
        <f t="shared" si="0"/>
        <v>4H-Box, plastic</v>
      </c>
      <c r="F19" s="39" t="s">
        <v>557</v>
      </c>
      <c r="G19" s="39" t="s">
        <v>558</v>
      </c>
      <c r="H19" s="40" t="str">
        <f t="shared" si="1"/>
        <v>BMD-Bermudian Dollar</v>
      </c>
      <c r="J19" s="126" t="s">
        <v>559</v>
      </c>
      <c r="K19" s="42" t="s">
        <v>560</v>
      </c>
      <c r="L19" s="41" t="str">
        <f t="shared" si="2"/>
        <v>Y986-Exemption from import prohibition according to articles 11.1 and 11.2 of Regulation (EU) No 517/2014</v>
      </c>
      <c r="N19" s="43" t="s">
        <v>561</v>
      </c>
      <c r="O19" s="44" t="s">
        <v>562</v>
      </c>
      <c r="P19" s="45" t="str">
        <f t="shared" si="3"/>
        <v>BA-Bosnia and Herzegovina</v>
      </c>
      <c r="R19" s="80" t="s">
        <v>210</v>
      </c>
      <c r="S19" s="80" t="s">
        <v>211</v>
      </c>
      <c r="T19" s="46" t="str">
        <f t="shared" si="4"/>
        <v>N705-Bill of lading</v>
      </c>
      <c r="AE19" s="51"/>
      <c r="AF19" s="52" t="s">
        <v>563</v>
      </c>
      <c r="AG19" s="52" t="s">
        <v>564</v>
      </c>
      <c r="AH19" s="53" t="str">
        <f t="shared" si="5"/>
        <v>01341-Permit to import / export of ozone-depleting substances and</v>
      </c>
      <c r="AR19" s="58" t="s">
        <v>565</v>
      </c>
      <c r="AS19" s="60" t="s">
        <v>566</v>
      </c>
      <c r="AT19" s="60" t="str">
        <f t="shared" si="8"/>
        <v>60-Goods Received / Sent for Maintenance and Repair in return for Payment</v>
      </c>
      <c r="AV19" s="61" t="s">
        <v>567</v>
      </c>
      <c r="AW19" s="62" t="s">
        <v>568</v>
      </c>
      <c r="AX19" s="63" t="str">
        <f t="shared" si="9"/>
        <v>F19-KOCAELİ FREE ZONE</v>
      </c>
      <c r="AZ19" s="64" t="s">
        <v>569</v>
      </c>
      <c r="BA19" s="77" t="s">
        <v>570</v>
      </c>
      <c r="BB19" s="66" t="str">
        <f t="shared" si="12"/>
        <v>GFI-Gram of fissile isotopes</v>
      </c>
      <c r="BH19" s="88" t="s">
        <v>571</v>
      </c>
      <c r="BI19" s="88" t="s">
        <v>572</v>
      </c>
      <c r="BJ19" s="72" t="str">
        <f t="shared" si="11"/>
        <v>Y929-Goods not concerned by Regulation (EC) No 834/2007 (organic products)</v>
      </c>
    </row>
    <row r="20" spans="2:62" ht="15" customHeight="1">
      <c r="B20" s="73" t="s">
        <v>573</v>
      </c>
      <c r="C20" s="74" t="s">
        <v>574</v>
      </c>
      <c r="D20" s="75" t="str">
        <f t="shared" si="0"/>
        <v>5H-Bag, woven plastic</v>
      </c>
      <c r="F20" s="39" t="s">
        <v>575</v>
      </c>
      <c r="G20" s="39" t="s">
        <v>576</v>
      </c>
      <c r="H20" s="40" t="str">
        <f t="shared" si="1"/>
        <v>BYR-Belarussian Ruble</v>
      </c>
      <c r="J20" s="126" t="s">
        <v>577</v>
      </c>
      <c r="K20" s="42" t="s">
        <v>578</v>
      </c>
      <c r="L20" s="41" t="str">
        <f t="shared" si="2"/>
        <v>N821-External Community transit declaration / common transit, T1</v>
      </c>
      <c r="N20" s="43" t="s">
        <v>579</v>
      </c>
      <c r="O20" s="44" t="s">
        <v>580</v>
      </c>
      <c r="P20" s="45" t="str">
        <f t="shared" si="3"/>
        <v>BB-Barbados</v>
      </c>
      <c r="R20" s="80" t="s">
        <v>342</v>
      </c>
      <c r="S20" s="80" t="s">
        <v>343</v>
      </c>
      <c r="T20" s="46" t="str">
        <f t="shared" si="4"/>
        <v>N714-House bill of lading</v>
      </c>
      <c r="AE20" s="51"/>
      <c r="AF20" s="52" t="s">
        <v>581</v>
      </c>
      <c r="AG20" s="52" t="s">
        <v>582</v>
      </c>
      <c r="AH20" s="53" t="str">
        <f t="shared" si="5"/>
        <v>01999-Other permits</v>
      </c>
      <c r="AR20" s="58" t="s">
        <v>583</v>
      </c>
      <c r="AS20" s="60" t="s">
        <v>584</v>
      </c>
      <c r="AT20" s="60" t="str">
        <f t="shared" si="8"/>
        <v>61-Return of goods received / sent after maintenance and repair against payment</v>
      </c>
      <c r="AV20" s="61" t="s">
        <v>585</v>
      </c>
      <c r="AW20" s="62" t="s">
        <v>586</v>
      </c>
      <c r="AX20" s="63" t="str">
        <f t="shared" si="9"/>
        <v>F20-DENİZLİ FREE ZONE</v>
      </c>
      <c r="AZ20" s="64" t="s">
        <v>587</v>
      </c>
      <c r="BA20" s="77" t="s">
        <v>588</v>
      </c>
      <c r="BB20" s="66" t="str">
        <f t="shared" si="12"/>
        <v>GRM-Gram</v>
      </c>
      <c r="BH20" s="88" t="s">
        <v>589</v>
      </c>
      <c r="BI20" s="88" t="s">
        <v>590</v>
      </c>
      <c r="BJ20" s="72" t="str">
        <f t="shared" si="11"/>
        <v>Y924-Goods not concerned by Regulation (EU) 2017/852</v>
      </c>
    </row>
    <row r="21" spans="2:62" ht="15" customHeight="1">
      <c r="B21" s="73" t="s">
        <v>591</v>
      </c>
      <c r="C21" s="74" t="s">
        <v>592</v>
      </c>
      <c r="D21" s="75" t="str">
        <f t="shared" si="0"/>
        <v>5L-Bag, textile</v>
      </c>
      <c r="F21" s="39" t="s">
        <v>593</v>
      </c>
      <c r="G21" s="39" t="s">
        <v>594</v>
      </c>
      <c r="H21" s="40" t="str">
        <f t="shared" si="1"/>
        <v>BTN-Bhutan Ngultrum</v>
      </c>
      <c r="J21" s="126" t="s">
        <v>279</v>
      </c>
      <c r="K21" s="42" t="s">
        <v>441</v>
      </c>
      <c r="L21" s="41" t="str">
        <f t="shared" si="2"/>
        <v>C658-Fallback Accompanying Document for movements of excise goods under suspension of excise duty (FAD), as referred to in Article 8(1) Reg. (EC) No 684/2009</v>
      </c>
      <c r="N21" s="43" t="s">
        <v>595</v>
      </c>
      <c r="O21" s="44" t="s">
        <v>596</v>
      </c>
      <c r="P21" s="45" t="str">
        <f t="shared" si="3"/>
        <v>BD-Bangladesh</v>
      </c>
      <c r="R21" s="80" t="s">
        <v>293</v>
      </c>
      <c r="S21" s="80" t="s">
        <v>294</v>
      </c>
      <c r="T21" s="46" t="str">
        <f t="shared" si="4"/>
        <v>N720-Consignment note CIM</v>
      </c>
      <c r="AE21" s="51"/>
      <c r="AF21" s="52" t="s">
        <v>597</v>
      </c>
      <c r="AG21" s="52" t="s">
        <v>211</v>
      </c>
      <c r="AH21" s="53" t="str">
        <f t="shared" si="5"/>
        <v>02011-Bill of lading</v>
      </c>
      <c r="AR21" s="58" t="s">
        <v>598</v>
      </c>
      <c r="AS21" s="60" t="s">
        <v>599</v>
      </c>
      <c r="AT21" s="60" t="str">
        <f t="shared" si="8"/>
        <v>62-Incoming / Sent Items to See Maintenance without a Payment</v>
      </c>
      <c r="AV21" s="61" t="s">
        <v>600</v>
      </c>
      <c r="AW21" s="62" t="s">
        <v>601</v>
      </c>
      <c r="AX21" s="63" t="str">
        <f t="shared" si="9"/>
        <v>S11-ESENDERE BORDER TRADE CENTER</v>
      </c>
      <c r="AZ21" s="64" t="s">
        <v>602</v>
      </c>
      <c r="BA21" s="77" t="s">
        <v>603</v>
      </c>
      <c r="BB21" s="66" t="str">
        <f t="shared" si="12"/>
        <v>GRT-Gross tonnage</v>
      </c>
      <c r="BH21" s="88" t="s">
        <v>604</v>
      </c>
      <c r="BI21" s="88" t="s">
        <v>605</v>
      </c>
      <c r="BJ21" s="72" t="str">
        <f t="shared" si="11"/>
        <v>Y057-Goods not requiring the presentation of a FLEGT import licence for timber</v>
      </c>
    </row>
    <row r="22" spans="2:62" ht="15" customHeight="1">
      <c r="B22" s="73" t="s">
        <v>606</v>
      </c>
      <c r="C22" s="74" t="s">
        <v>607</v>
      </c>
      <c r="D22" s="75" t="str">
        <f t="shared" si="0"/>
        <v>5M-Bag, paper</v>
      </c>
      <c r="F22" s="39" t="s">
        <v>608</v>
      </c>
      <c r="G22" s="39" t="s">
        <v>609</v>
      </c>
      <c r="H22" s="40" t="str">
        <f t="shared" si="1"/>
        <v>AED-United Arab Emirates Dirham</v>
      </c>
      <c r="J22" s="126" t="s">
        <v>610</v>
      </c>
      <c r="K22" s="42" t="s">
        <v>611</v>
      </c>
      <c r="L22" s="41" t="str">
        <f t="shared" si="2"/>
        <v>C690-FLEGT wood import license</v>
      </c>
      <c r="N22" s="43" t="s">
        <v>612</v>
      </c>
      <c r="O22" s="44" t="s">
        <v>613</v>
      </c>
      <c r="P22" s="45" t="str">
        <f t="shared" si="3"/>
        <v>BE-Belgian</v>
      </c>
      <c r="R22" s="80" t="s">
        <v>531</v>
      </c>
      <c r="S22" s="80" t="s">
        <v>614</v>
      </c>
      <c r="T22" s="46" t="str">
        <f t="shared" si="4"/>
        <v>N722-Road list SMGS</v>
      </c>
      <c r="AE22" s="51"/>
      <c r="AF22" s="52" t="s">
        <v>615</v>
      </c>
      <c r="AG22" s="52" t="s">
        <v>616</v>
      </c>
      <c r="AH22" s="53" t="str">
        <f t="shared" si="5"/>
        <v>02012-Transport document - river mode  / waybill</v>
      </c>
      <c r="AR22" s="58" t="s">
        <v>617</v>
      </c>
      <c r="AS22" s="60" t="s">
        <v>618</v>
      </c>
      <c r="AT22" s="60" t="str">
        <f t="shared" si="8"/>
        <v>63-Return of Goods Arrived / Sent After Maintenance and Repair without a Payment</v>
      </c>
      <c r="AV22" s="61" t="s">
        <v>619</v>
      </c>
      <c r="AW22" s="62" t="s">
        <v>620</v>
      </c>
      <c r="AX22" s="63" t="str">
        <f t="shared" si="9"/>
        <v>S12-KAPIKÖY BORDER TRADE CENTER</v>
      </c>
      <c r="AZ22" s="64" t="s">
        <v>621</v>
      </c>
      <c r="BA22" s="77" t="s">
        <v>622</v>
      </c>
      <c r="BB22" s="66" t="str">
        <f t="shared" si="12"/>
        <v>HLT-Hectolitre</v>
      </c>
      <c r="BH22" s="88" t="s">
        <v>623</v>
      </c>
      <c r="BI22" s="88" t="s">
        <v>624</v>
      </c>
      <c r="BJ22" s="72" t="str">
        <f t="shared" si="11"/>
        <v>Y950-Goods other than pre-charged equipment with hydrofluorocarbons</v>
      </c>
    </row>
    <row r="23" spans="2:62" ht="15" customHeight="1">
      <c r="B23" s="73" t="s">
        <v>625</v>
      </c>
      <c r="C23" s="74" t="s">
        <v>626</v>
      </c>
      <c r="D23" s="75" t="str">
        <f t="shared" si="0"/>
        <v>6H-Composite packaging, plastic receptacle</v>
      </c>
      <c r="F23" s="39" t="s">
        <v>627</v>
      </c>
      <c r="G23" s="39" t="s">
        <v>628</v>
      </c>
      <c r="H23" s="40" t="str">
        <f t="shared" si="1"/>
        <v>BOB-Bolivian Boliviano</v>
      </c>
      <c r="J23" s="126" t="s">
        <v>629</v>
      </c>
      <c r="K23" s="42" t="s">
        <v>630</v>
      </c>
      <c r="L23" s="41" t="str">
        <f t="shared" si="2"/>
        <v>Y955-Goods other than those falling under the import prohibitions defined in article 7.2 of Regulation (EU) No 517/2014</v>
      </c>
      <c r="N23" s="43" t="s">
        <v>631</v>
      </c>
      <c r="O23" s="44" t="s">
        <v>632</v>
      </c>
      <c r="P23" s="45" t="str">
        <f t="shared" si="3"/>
        <v>BF-Burkina Faso</v>
      </c>
      <c r="R23" s="80" t="s">
        <v>509</v>
      </c>
      <c r="S23" s="80" t="s">
        <v>510</v>
      </c>
      <c r="T23" s="46" t="str">
        <f t="shared" si="4"/>
        <v>N730-Road consignment note</v>
      </c>
      <c r="AE23" s="51"/>
      <c r="AF23" s="52" t="s">
        <v>633</v>
      </c>
      <c r="AG23" s="52" t="s">
        <v>634</v>
      </c>
      <c r="AH23" s="53" t="str">
        <f t="shared" si="5"/>
        <v>02013-SMGS</v>
      </c>
      <c r="AR23" s="58" t="s">
        <v>635</v>
      </c>
      <c r="AS23" s="60" t="s">
        <v>636</v>
      </c>
      <c r="AT23" s="60" t="str">
        <f t="shared" si="8"/>
        <v>64-Temporary Arrival / Sent Goods for Exhibition and Fair</v>
      </c>
      <c r="AV23" s="61" t="s">
        <v>637</v>
      </c>
      <c r="AW23" s="62" t="s">
        <v>638</v>
      </c>
      <c r="AX23" s="63" t="str">
        <f t="shared" si="9"/>
        <v>S13-SARISU BORDER TRADE CENTER</v>
      </c>
      <c r="AZ23" s="64" t="s">
        <v>639</v>
      </c>
      <c r="BA23" s="77" t="s">
        <v>640</v>
      </c>
      <c r="BB23" s="66" t="str">
        <f t="shared" si="12"/>
        <v>HMT-Hectometre</v>
      </c>
      <c r="BH23" s="88" t="s">
        <v>641</v>
      </c>
      <c r="BI23" s="88" t="s">
        <v>642</v>
      </c>
      <c r="BJ23" s="72" t="str">
        <f t="shared" si="11"/>
        <v>Y902-Goods other than those described in the OZ footnotes linked to the measure</v>
      </c>
    </row>
    <row r="24" spans="2:62" ht="15" customHeight="1">
      <c r="B24" s="73" t="s">
        <v>643</v>
      </c>
      <c r="C24" s="74" t="s">
        <v>644</v>
      </c>
      <c r="D24" s="75" t="str">
        <f t="shared" si="0"/>
        <v>6P-Composite packaging, glass receptacle</v>
      </c>
      <c r="F24" s="39" t="s">
        <v>645</v>
      </c>
      <c r="G24" s="39" t="s">
        <v>646</v>
      </c>
      <c r="H24" s="40" t="str">
        <f t="shared" si="1"/>
        <v>BOV-Mvdol</v>
      </c>
      <c r="J24" s="126" t="s">
        <v>647</v>
      </c>
      <c r="K24" s="42" t="s">
        <v>648</v>
      </c>
      <c r="L24" s="41" t="str">
        <f t="shared" si="2"/>
        <v>Y956-Goods other than those falling under the reduction of the quantity of hydrofluorocarbons placed on the EU market defined in article 15 of Regulation (EU) No 517/2014</v>
      </c>
      <c r="N24" s="43" t="s">
        <v>649</v>
      </c>
      <c r="O24" s="44" t="s">
        <v>650</v>
      </c>
      <c r="P24" s="45" t="str">
        <f t="shared" si="3"/>
        <v>BG-Bulgarian</v>
      </c>
      <c r="R24" s="80" t="s">
        <v>149</v>
      </c>
      <c r="S24" s="80" t="s">
        <v>150</v>
      </c>
      <c r="T24" s="46" t="str">
        <f t="shared" si="4"/>
        <v>N740-Air waybill</v>
      </c>
      <c r="AE24" s="51"/>
      <c r="AF24" s="52" t="s">
        <v>651</v>
      </c>
      <c r="AG24" s="52" t="s">
        <v>652</v>
      </c>
      <c r="AH24" s="53" t="str">
        <f t="shared" si="5"/>
        <v>02014-Other documents, rail mode</v>
      </c>
      <c r="AR24" s="58" t="s">
        <v>653</v>
      </c>
      <c r="AS24" s="60" t="s">
        <v>654</v>
      </c>
      <c r="AT24" s="60" t="str">
        <f t="shared" si="8"/>
        <v>65-Return of Goods Arrived / Sent Temporarily for Exhibition and Fair</v>
      </c>
      <c r="AV24" s="61" t="s">
        <v>655</v>
      </c>
      <c r="AW24" s="62" t="s">
        <v>656</v>
      </c>
      <c r="AX24" s="63" t="str">
        <f t="shared" si="9"/>
        <v>S41-DİLUCU BORDER TRADE CENTER</v>
      </c>
      <c r="AZ24" s="64" t="s">
        <v>657</v>
      </c>
      <c r="BA24" s="77" t="s">
        <v>658</v>
      </c>
      <c r="BB24" s="66" t="str">
        <f t="shared" si="12"/>
        <v>KAC-Kilogram net of acesulfame potassium</v>
      </c>
      <c r="BH24" s="88" t="s">
        <v>659</v>
      </c>
      <c r="BI24" s="88" t="s">
        <v>660</v>
      </c>
      <c r="BJ24" s="72" t="str">
        <f t="shared" si="11"/>
        <v>Y907-Goods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v>
      </c>
    </row>
    <row r="25" spans="2:62" ht="15" customHeight="1">
      <c r="B25" s="73" t="s">
        <v>661</v>
      </c>
      <c r="C25" s="74" t="s">
        <v>662</v>
      </c>
      <c r="D25" s="75" t="str">
        <f t="shared" si="0"/>
        <v>7A-Caja para automóvil (case car)</v>
      </c>
      <c r="F25" s="39" t="s">
        <v>663</v>
      </c>
      <c r="G25" s="39" t="s">
        <v>664</v>
      </c>
      <c r="H25" s="40" t="str">
        <f t="shared" si="1"/>
        <v>BAM-Convertible Marks</v>
      </c>
      <c r="J25" s="126" t="s">
        <v>665</v>
      </c>
      <c r="K25" s="42" t="s">
        <v>666</v>
      </c>
      <c r="L25" s="41" t="str">
        <f t="shared" si="2"/>
        <v>Y976-Goods other than those falling under the registration obligation defined in Article 1.2 of Regulation (EU) 1191/2014 as amended by Commission Implementing Regulation (EU) 2017/1375</v>
      </c>
      <c r="N25" s="43" t="s">
        <v>667</v>
      </c>
      <c r="O25" s="44" t="s">
        <v>668</v>
      </c>
      <c r="P25" s="45" t="str">
        <f t="shared" si="3"/>
        <v>BH-Bahrain</v>
      </c>
      <c r="R25" s="80" t="s">
        <v>389</v>
      </c>
      <c r="S25" s="80" t="s">
        <v>669</v>
      </c>
      <c r="T25" s="46" t="str">
        <f t="shared" si="4"/>
        <v>N741-Master air waybill</v>
      </c>
      <c r="AE25" s="51"/>
      <c r="AF25" s="52" t="s">
        <v>670</v>
      </c>
      <c r="AG25" s="52" t="s">
        <v>671</v>
      </c>
      <c r="AH25" s="53" t="str">
        <f t="shared" si="5"/>
        <v>02016-Other transport document, road mode</v>
      </c>
      <c r="AR25" s="58" t="s">
        <v>672</v>
      </c>
      <c r="AS25" s="60" t="s">
        <v>673</v>
      </c>
      <c r="AT25" s="60" t="str">
        <f t="shared" si="8"/>
        <v>66-Temporary Incoming / Sent Goods for Testing, Control and Sample Purposes</v>
      </c>
      <c r="AV25" s="61" t="s">
        <v>674</v>
      </c>
      <c r="AW25" s="62" t="s">
        <v>675</v>
      </c>
      <c r="AX25" s="63" t="str">
        <f t="shared" si="9"/>
        <v>001-FRANCE</v>
      </c>
      <c r="AZ25" s="64" t="s">
        <v>676</v>
      </c>
      <c r="BA25" s="77" t="s">
        <v>677</v>
      </c>
      <c r="BB25" s="66" t="str">
        <f t="shared" si="12"/>
        <v>KCC-Kilogram of choline chloride</v>
      </c>
      <c r="BH25" s="88" t="s">
        <v>678</v>
      </c>
      <c r="BI25" s="88" t="s">
        <v>679</v>
      </c>
      <c r="BJ25" s="72" t="str">
        <f t="shared" si="11"/>
        <v>Y029-Other authorised economic operator (AEO certificate number)</v>
      </c>
    </row>
    <row r="26" spans="2:62" ht="15" customHeight="1">
      <c r="B26" s="73" t="s">
        <v>680</v>
      </c>
      <c r="C26" s="74" t="s">
        <v>681</v>
      </c>
      <c r="D26" s="75" t="str">
        <f t="shared" si="0"/>
        <v>7B-Caja (case), de madera</v>
      </c>
      <c r="F26" s="39" t="s">
        <v>682</v>
      </c>
      <c r="G26" s="39" t="s">
        <v>683</v>
      </c>
      <c r="H26" s="40" t="str">
        <f t="shared" si="1"/>
        <v>BWP-Botswana Pula</v>
      </c>
      <c r="J26" s="126" t="s">
        <v>684</v>
      </c>
      <c r="K26" s="42" t="s">
        <v>685</v>
      </c>
      <c r="L26" s="41" t="str">
        <f t="shared" si="2"/>
        <v>N911-Import licence</v>
      </c>
      <c r="N26" s="43" t="s">
        <v>686</v>
      </c>
      <c r="O26" s="44" t="s">
        <v>687</v>
      </c>
      <c r="P26" s="45" t="str">
        <f t="shared" si="3"/>
        <v>BI-Burundi</v>
      </c>
      <c r="R26" s="80" t="s">
        <v>439</v>
      </c>
      <c r="S26" s="80" t="s">
        <v>688</v>
      </c>
      <c r="T26" s="46" t="str">
        <f t="shared" si="4"/>
        <v>N750-Movement by post including parcel post</v>
      </c>
      <c r="AE26" s="51"/>
      <c r="AF26" s="52" t="s">
        <v>689</v>
      </c>
      <c r="AG26" s="52" t="s">
        <v>150</v>
      </c>
      <c r="AH26" s="53" t="str">
        <f t="shared" si="5"/>
        <v>02017-Air waybill</v>
      </c>
      <c r="AR26" s="58" t="s">
        <v>690</v>
      </c>
      <c r="AS26" s="60" t="s">
        <v>691</v>
      </c>
      <c r="AT26" s="60" t="str">
        <f t="shared" si="8"/>
        <v>67-Return of Transient Incoming / Outgoing Goods for Testing, Inspection, Sampling</v>
      </c>
      <c r="AV26" s="61" t="s">
        <v>692</v>
      </c>
      <c r="AW26" s="62" t="s">
        <v>693</v>
      </c>
      <c r="AX26" s="63" t="str">
        <f t="shared" si="9"/>
        <v>003-NETHERLANDS</v>
      </c>
      <c r="AZ26" s="64" t="s">
        <v>694</v>
      </c>
      <c r="BA26" s="77" t="s">
        <v>695</v>
      </c>
      <c r="BB26" s="66" t="str">
        <f t="shared" si="12"/>
        <v>KCL-Tonne of potassium chloride</v>
      </c>
      <c r="BH26" s="88" t="s">
        <v>696</v>
      </c>
      <c r="BI26" s="88" t="s">
        <v>697</v>
      </c>
      <c r="BJ26" s="72" t="str">
        <f t="shared" si="11"/>
        <v>Y032-Other goods than those seal products mentioned in Regulation (EU) 2015/1850 (OJ L 271)</v>
      </c>
    </row>
    <row r="27" spans="2:62" ht="15" customHeight="1">
      <c r="B27" s="73" t="s">
        <v>698</v>
      </c>
      <c r="C27" s="74" t="s">
        <v>699</v>
      </c>
      <c r="D27" s="75" t="str">
        <f t="shared" si="0"/>
        <v>8A-Paleta de madera</v>
      </c>
      <c r="F27" s="39" t="s">
        <v>700</v>
      </c>
      <c r="G27" s="39" t="s">
        <v>701</v>
      </c>
      <c r="H27" s="40" t="str">
        <f t="shared" si="1"/>
        <v>BRL-Brazilian Real</v>
      </c>
      <c r="J27" s="126" t="s">
        <v>702</v>
      </c>
      <c r="K27" s="42" t="s">
        <v>703</v>
      </c>
      <c r="L27" s="41" t="str">
        <f t="shared" si="2"/>
        <v>N822-Internal Community transit declaration T2</v>
      </c>
      <c r="N27" s="43" t="s">
        <v>704</v>
      </c>
      <c r="O27" s="44" t="s">
        <v>705</v>
      </c>
      <c r="P27" s="45" t="str">
        <f t="shared" si="3"/>
        <v>BJ-Benin</v>
      </c>
      <c r="R27" s="80" t="s">
        <v>464</v>
      </c>
      <c r="S27" s="80" t="s">
        <v>706</v>
      </c>
      <c r="T27" s="46" t="str">
        <f t="shared" si="4"/>
        <v>N760-Multimodal/combined transport document</v>
      </c>
      <c r="AE27" s="51"/>
      <c r="AF27" s="52" t="s">
        <v>707</v>
      </c>
      <c r="AG27" s="52" t="s">
        <v>708</v>
      </c>
      <c r="AH27" s="53" t="str">
        <f t="shared" si="5"/>
        <v>02018-Transport documents, pipeline transport</v>
      </c>
      <c r="AR27" s="58" t="s">
        <v>709</v>
      </c>
      <c r="AS27" s="60" t="s">
        <v>710</v>
      </c>
      <c r="AT27" s="60" t="str">
        <f t="shared" si="8"/>
        <v>70-Processes on Joint Defense Projects and Intergovernmental Production Programs</v>
      </c>
      <c r="AV27" s="61" t="s">
        <v>711</v>
      </c>
      <c r="AW27" s="62" t="s">
        <v>712</v>
      </c>
      <c r="AX27" s="63" t="str">
        <f t="shared" si="9"/>
        <v>004-GERMANY</v>
      </c>
      <c r="AZ27" s="64" t="s">
        <v>713</v>
      </c>
      <c r="BA27" s="77" t="s">
        <v>714</v>
      </c>
      <c r="BB27" s="66" t="str">
        <f t="shared" si="12"/>
        <v>KGM-Kilogram</v>
      </c>
      <c r="BH27" s="88" t="s">
        <v>715</v>
      </c>
      <c r="BI27" s="88" t="s">
        <v>716</v>
      </c>
      <c r="BJ27" s="72" t="str">
        <f t="shared" si="11"/>
        <v>Y922-Other than cats and dogs fur as mentioned by Regulation (EC) No 1523/2007 (OJ L 343)</v>
      </c>
    </row>
    <row r="28" spans="2:62" ht="15" customHeight="1">
      <c r="B28" s="73" t="s">
        <v>717</v>
      </c>
      <c r="C28" s="74" t="s">
        <v>718</v>
      </c>
      <c r="D28" s="75" t="str">
        <f t="shared" si="0"/>
        <v>8B-Cajón de madera</v>
      </c>
      <c r="F28" s="39" t="s">
        <v>719</v>
      </c>
      <c r="G28" s="39" t="s">
        <v>720</v>
      </c>
      <c r="H28" s="40" t="str">
        <f t="shared" si="1"/>
        <v>BND-Brunei Dollar</v>
      </c>
      <c r="J28" s="126" t="s">
        <v>721</v>
      </c>
      <c r="K28" s="42" t="s">
        <v>722</v>
      </c>
      <c r="L28" s="41" t="str">
        <f t="shared" si="2"/>
        <v>L116-Kimberley Process Certificate</v>
      </c>
      <c r="N28" s="43" t="s">
        <v>723</v>
      </c>
      <c r="O28" s="44" t="s">
        <v>724</v>
      </c>
      <c r="P28" s="45" t="str">
        <f t="shared" si="3"/>
        <v>BL-Saint Barthélemy</v>
      </c>
      <c r="R28" s="80" t="s">
        <v>269</v>
      </c>
      <c r="S28" s="80" t="s">
        <v>270</v>
      </c>
      <c r="T28" s="46" t="str">
        <f t="shared" si="4"/>
        <v>N785-Cargo manifest</v>
      </c>
      <c r="AE28" s="51"/>
      <c r="AF28" s="52" t="s">
        <v>725</v>
      </c>
      <c r="AG28" s="52" t="s">
        <v>181</v>
      </c>
      <c r="AH28" s="53" t="str">
        <f t="shared" si="5"/>
        <v>02025-ATA carnet</v>
      </c>
      <c r="AR28" s="58" t="s">
        <v>726</v>
      </c>
      <c r="AS28" s="60" t="s">
        <v>727</v>
      </c>
      <c r="AT28" s="60" t="str">
        <f t="shared" si="8"/>
        <v>80-No Separate Billing of Goods; Scope of a General Construction or Engineering Contract Covering the Procurement of Construction Material and Technical Equipment for a Single Invoice for the Entire Contract</v>
      </c>
      <c r="AV28" s="61" t="s">
        <v>728</v>
      </c>
      <c r="AW28" s="62" t="s">
        <v>729</v>
      </c>
      <c r="AX28" s="63" t="str">
        <f t="shared" si="9"/>
        <v>005-ITALY</v>
      </c>
      <c r="AZ28" s="64" t="s">
        <v>730</v>
      </c>
      <c r="BA28" s="77" t="s">
        <v>731</v>
      </c>
      <c r="BB28" s="66" t="str">
        <f t="shared" si="12"/>
        <v>KGMA-Kilogram total alcohol</v>
      </c>
      <c r="BH28" s="88" t="s">
        <v>732</v>
      </c>
      <c r="BI28" s="88" t="s">
        <v>733</v>
      </c>
      <c r="BJ28" s="72" t="str">
        <f t="shared" si="11"/>
        <v>Y026-Principal (AEO certificate number)</v>
      </c>
    </row>
    <row r="29" spans="2:62" ht="15" customHeight="1">
      <c r="B29" s="73" t="s">
        <v>734</v>
      </c>
      <c r="C29" s="74" t="s">
        <v>735</v>
      </c>
      <c r="D29" s="75" t="str">
        <f t="shared" si="0"/>
        <v>8C-Haz de leña</v>
      </c>
      <c r="F29" s="39" t="s">
        <v>736</v>
      </c>
      <c r="G29" s="39" t="s">
        <v>737</v>
      </c>
      <c r="H29" s="40" t="str">
        <f t="shared" si="1"/>
        <v>BGN-Bulgarian Lev</v>
      </c>
      <c r="J29" s="126" t="s">
        <v>738</v>
      </c>
      <c r="K29" s="42" t="s">
        <v>739</v>
      </c>
      <c r="L29" s="41" t="str">
        <f t="shared" si="2"/>
        <v>L100-Import licence "controlled substances" (ozone), issued by the Commission</v>
      </c>
      <c r="N29" s="43" t="s">
        <v>740</v>
      </c>
      <c r="O29" s="44" t="s">
        <v>741</v>
      </c>
      <c r="P29" s="45" t="str">
        <f t="shared" si="3"/>
        <v>BM-Bermuda</v>
      </c>
      <c r="R29" s="80" t="s">
        <v>240</v>
      </c>
      <c r="S29" s="80" t="s">
        <v>241</v>
      </c>
      <c r="T29" s="46" t="str">
        <f t="shared" si="4"/>
        <v>N787-Bordereau (cargo load list)</v>
      </c>
      <c r="AE29" s="51"/>
      <c r="AF29" s="52" t="s">
        <v>742</v>
      </c>
      <c r="AG29" s="52" t="s">
        <v>743</v>
      </c>
      <c r="AH29" s="53" t="str">
        <f t="shared" si="5"/>
        <v>02099-Other transport documents</v>
      </c>
      <c r="AR29" s="58" t="s">
        <v>744</v>
      </c>
      <c r="AS29" s="60" t="s">
        <v>745</v>
      </c>
      <c r="AT29" s="60" t="str">
        <f t="shared" si="8"/>
        <v>91-Other Commercial Transactions - Leasing, Borrowing and Operational Leasing for More Than 24 Months</v>
      </c>
      <c r="AV29" s="61" t="s">
        <v>746</v>
      </c>
      <c r="AW29" s="62" t="s">
        <v>747</v>
      </c>
      <c r="AX29" s="63" t="str">
        <f t="shared" si="9"/>
        <v>006-UNITED KINGDOM</v>
      </c>
      <c r="AZ29" s="64" t="s">
        <v>748</v>
      </c>
      <c r="BA29" s="77" t="s">
        <v>749</v>
      </c>
      <c r="BB29" s="66" t="str">
        <f t="shared" si="12"/>
        <v>KGME-Kilogram of drained net weight</v>
      </c>
      <c r="BH29" s="88" t="s">
        <v>750</v>
      </c>
      <c r="BI29" s="88" t="s">
        <v>751</v>
      </c>
      <c r="BJ29" s="72" t="str">
        <f t="shared" si="11"/>
        <v>Y901-Product not included in the dual use list</v>
      </c>
    </row>
    <row r="30" spans="2:62" ht="15" customHeight="1">
      <c r="B30" s="73" t="s">
        <v>752</v>
      </c>
      <c r="C30" s="74" t="s">
        <v>753</v>
      </c>
      <c r="D30" s="75" t="str">
        <f t="shared" si="0"/>
        <v>AA-Intermediate bulk container, rigid plastic</v>
      </c>
      <c r="F30" s="39" t="s">
        <v>537</v>
      </c>
      <c r="G30" s="39" t="s">
        <v>754</v>
      </c>
      <c r="H30" s="40" t="str">
        <f t="shared" si="1"/>
        <v>XOF-Burkino Faso, CFA Franc BCEAO</v>
      </c>
      <c r="J30" s="126" t="s">
        <v>755</v>
      </c>
      <c r="K30" s="42" t="s">
        <v>756</v>
      </c>
      <c r="L30" s="41" t="str">
        <f t="shared" si="2"/>
        <v>N954-Movement certificate EUR.1</v>
      </c>
      <c r="N30" s="43" t="s">
        <v>757</v>
      </c>
      <c r="O30" s="44" t="s">
        <v>758</v>
      </c>
      <c r="P30" s="45" t="str">
        <f t="shared" si="3"/>
        <v>BN-Brunei Darussalam</v>
      </c>
      <c r="R30" s="80" t="s">
        <v>759</v>
      </c>
      <c r="S30" s="80" t="s">
        <v>760</v>
      </c>
      <c r="T30" s="46" t="str">
        <f t="shared" si="4"/>
        <v>N820-Transit declaration "T"</v>
      </c>
      <c r="AE30" s="51"/>
      <c r="AF30" s="52" t="s">
        <v>761</v>
      </c>
      <c r="AG30" s="52" t="s">
        <v>762</v>
      </c>
      <c r="AH30" s="53" t="str">
        <f t="shared" si="5"/>
        <v>03011-Contract</v>
      </c>
      <c r="AR30" s="58" t="s">
        <v>763</v>
      </c>
      <c r="AS30" s="60" t="s">
        <v>764</v>
      </c>
      <c r="AT30" s="60" t="str">
        <f t="shared" si="8"/>
        <v>99-Other Commercial Transactions</v>
      </c>
      <c r="AV30" s="61" t="s">
        <v>765</v>
      </c>
      <c r="AW30" s="62" t="s">
        <v>766</v>
      </c>
      <c r="AX30" s="63" t="str">
        <f t="shared" si="9"/>
        <v>007-IRELAND</v>
      </c>
      <c r="AZ30" s="64" t="s">
        <v>767</v>
      </c>
      <c r="BA30" s="77" t="s">
        <v>768</v>
      </c>
      <c r="BB30" s="66" t="str">
        <f t="shared" si="12"/>
        <v>KGMG-Kilogram , gross</v>
      </c>
      <c r="BH30" s="88" t="s">
        <v>769</v>
      </c>
      <c r="BI30" s="88" t="s">
        <v>770</v>
      </c>
      <c r="BJ30" s="72" t="str">
        <f t="shared" si="11"/>
        <v>Y118-Product not in conformity — release for free circulation not authorised — Regulation (EU) 2019/1020, Art. 28(2)</v>
      </c>
    </row>
    <row r="31" spans="2:62" ht="15" customHeight="1">
      <c r="B31" s="73" t="s">
        <v>771</v>
      </c>
      <c r="C31" s="74" t="s">
        <v>772</v>
      </c>
      <c r="D31" s="75" t="str">
        <f t="shared" si="0"/>
        <v>AB-Receptacle, fibre</v>
      </c>
      <c r="F31" s="39" t="s">
        <v>773</v>
      </c>
      <c r="G31" s="39" t="s">
        <v>774</v>
      </c>
      <c r="H31" s="40" t="str">
        <f t="shared" si="1"/>
        <v>BIF-Burundi Franc</v>
      </c>
      <c r="J31" s="126" t="s">
        <v>775</v>
      </c>
      <c r="K31" s="42" t="s">
        <v>776</v>
      </c>
      <c r="L31" s="41" t="str">
        <f t="shared" si="2"/>
        <v>N002-Certificate of conformity with the European Union marketing standards for fresh fruit and vegetables</v>
      </c>
      <c r="N31" s="43" t="s">
        <v>777</v>
      </c>
      <c r="O31" s="44" t="s">
        <v>778</v>
      </c>
      <c r="P31" s="45" t="str">
        <f t="shared" si="3"/>
        <v>BO-Bolivia</v>
      </c>
      <c r="R31" s="80" t="s">
        <v>577</v>
      </c>
      <c r="S31" s="80" t="s">
        <v>578</v>
      </c>
      <c r="T31" s="46" t="str">
        <f t="shared" si="4"/>
        <v>N821-External Community transit declaration / common transit, T1</v>
      </c>
      <c r="AE31" s="51"/>
      <c r="AF31" s="52" t="s">
        <v>779</v>
      </c>
      <c r="AG31" s="52" t="s">
        <v>780</v>
      </c>
      <c r="AH31" s="53" t="str">
        <f t="shared" si="5"/>
        <v>03012-Addendum to the contract, code 03011</v>
      </c>
      <c r="AV31" s="61" t="s">
        <v>781</v>
      </c>
      <c r="AW31" s="62" t="s">
        <v>782</v>
      </c>
      <c r="AX31" s="63" t="str">
        <f t="shared" si="9"/>
        <v>008-DENMARK</v>
      </c>
      <c r="AZ31" s="89" t="s">
        <v>783</v>
      </c>
      <c r="BA31" s="89" t="s">
        <v>784</v>
      </c>
      <c r="BB31" s="66" t="str">
        <f t="shared" si="12"/>
        <v>KGMP-Kilogram of lactic matter</v>
      </c>
      <c r="BH31" s="88" t="s">
        <v>785</v>
      </c>
      <c r="BI31" s="88" t="s">
        <v>786</v>
      </c>
      <c r="BJ31" s="72" t="str">
        <f t="shared" si="11"/>
        <v>Y923-Product not subjected to the provisions of Regulation (EC) No 1013/2006 (OJ L 190)</v>
      </c>
    </row>
    <row r="32" spans="2:62" ht="15" customHeight="1">
      <c r="B32" s="73" t="s">
        <v>787</v>
      </c>
      <c r="C32" s="74" t="s">
        <v>788</v>
      </c>
      <c r="D32" s="75" t="str">
        <f t="shared" si="0"/>
        <v>AC-Receptacle, paper</v>
      </c>
      <c r="F32" s="39" t="s">
        <v>789</v>
      </c>
      <c r="G32" s="39" t="s">
        <v>790</v>
      </c>
      <c r="H32" s="40" t="str">
        <f t="shared" si="1"/>
        <v>GIP-Gibraltar Pound</v>
      </c>
      <c r="J32" s="126" t="s">
        <v>759</v>
      </c>
      <c r="K32" s="42" t="s">
        <v>760</v>
      </c>
      <c r="L32" s="41" t="str">
        <f t="shared" si="2"/>
        <v>N820-Transit declaration "T"</v>
      </c>
      <c r="N32" s="90" t="s">
        <v>791</v>
      </c>
      <c r="O32" s="90" t="s">
        <v>792</v>
      </c>
      <c r="P32" s="90" t="str">
        <f t="shared" si="3"/>
        <v>BQ-Bonaire, Sint Eustatius and Saba</v>
      </c>
      <c r="R32" s="80" t="s">
        <v>702</v>
      </c>
      <c r="S32" s="80" t="s">
        <v>703</v>
      </c>
      <c r="T32" s="46" t="str">
        <f t="shared" si="4"/>
        <v>N822-Internal Community transit declaration T2</v>
      </c>
      <c r="AE32" s="51"/>
      <c r="AF32" s="52" t="s">
        <v>793</v>
      </c>
      <c r="AG32" s="52" t="s">
        <v>794</v>
      </c>
      <c r="AH32" s="53" t="str">
        <f t="shared" si="5"/>
        <v>04031-Invoice for transport, loading, unloading, reloading</v>
      </c>
      <c r="AV32" s="61" t="s">
        <v>795</v>
      </c>
      <c r="AW32" s="62" t="s">
        <v>796</v>
      </c>
      <c r="AX32" s="63" t="str">
        <f t="shared" si="9"/>
        <v>009-GREECE</v>
      </c>
      <c r="AZ32" s="89" t="s">
        <v>797</v>
      </c>
      <c r="BA32" s="89" t="s">
        <v>798</v>
      </c>
      <c r="BB32" s="66" t="str">
        <f t="shared" si="12"/>
        <v>KGMS-Kilogram of sugar with a yield in white sugar of 92%</v>
      </c>
      <c r="BH32" s="88" t="s">
        <v>799</v>
      </c>
      <c r="BI32" s="88" t="s">
        <v>800</v>
      </c>
      <c r="BJ32" s="72" t="str">
        <f t="shared" si="11"/>
        <v>Y934-Product not subjected to the provisions of Regulation (EU) No 258/2012 for export of firearms, their parts and components and ammunition</v>
      </c>
    </row>
    <row r="33" spans="2:62" ht="15" customHeight="1">
      <c r="B33" s="73" t="s">
        <v>128</v>
      </c>
      <c r="C33" s="74" t="s">
        <v>801</v>
      </c>
      <c r="D33" s="75" t="str">
        <f t="shared" si="0"/>
        <v>AD-Receptacle, wooden</v>
      </c>
      <c r="F33" s="39" t="s">
        <v>802</v>
      </c>
      <c r="G33" s="39" t="s">
        <v>803</v>
      </c>
      <c r="H33" s="40" t="str">
        <f t="shared" si="1"/>
        <v>DZD-Algerian Dinar</v>
      </c>
      <c r="J33" s="126" t="s">
        <v>804</v>
      </c>
      <c r="K33" s="42" t="s">
        <v>308</v>
      </c>
      <c r="L33" s="41" t="str">
        <f t="shared" si="2"/>
        <v>N851-Phytosanitary certificate</v>
      </c>
      <c r="N33" s="43" t="s">
        <v>805</v>
      </c>
      <c r="O33" s="44" t="s">
        <v>806</v>
      </c>
      <c r="P33" s="45" t="str">
        <f t="shared" si="3"/>
        <v>BR-Brazil</v>
      </c>
      <c r="R33" s="80" t="s">
        <v>807</v>
      </c>
      <c r="S33" s="80" t="s">
        <v>808</v>
      </c>
      <c r="T33" s="46" t="str">
        <f t="shared" si="4"/>
        <v>N825-T2L document</v>
      </c>
      <c r="AE33" s="51"/>
      <c r="AF33" s="52" t="s">
        <v>809</v>
      </c>
      <c r="AG33" s="52" t="s">
        <v>810</v>
      </c>
      <c r="AH33" s="53" t="str">
        <f t="shared" si="5"/>
        <v>04081-Invoice cost of packing materials</v>
      </c>
      <c r="AV33" s="61" t="s">
        <v>811</v>
      </c>
      <c r="AW33" s="62" t="s">
        <v>812</v>
      </c>
      <c r="AX33" s="63" t="str">
        <f t="shared" si="9"/>
        <v>010-PORTUGAL</v>
      </c>
      <c r="AZ33" s="89" t="s">
        <v>813</v>
      </c>
      <c r="BA33" s="89" t="s">
        <v>814</v>
      </c>
      <c r="BB33" s="66" t="str">
        <f t="shared" si="12"/>
        <v>KGMT-Kilogram of dry lactic matter</v>
      </c>
      <c r="BH33" s="88" t="s">
        <v>815</v>
      </c>
      <c r="BI33" s="88" t="s">
        <v>816</v>
      </c>
      <c r="BJ33" s="72" t="str">
        <f t="shared" si="11"/>
        <v>Y916-Product not subjected to the provisions of Regulation (EU) No 649/2012 on the export and import of dangerous chemicals, Annex I</v>
      </c>
    </row>
    <row r="34" spans="2:62" ht="15" customHeight="1">
      <c r="B34" s="73" t="s">
        <v>159</v>
      </c>
      <c r="C34" s="74" t="s">
        <v>817</v>
      </c>
      <c r="D34" s="75" t="str">
        <f t="shared" si="0"/>
        <v>AE-Aerosol</v>
      </c>
      <c r="F34" s="39" t="s">
        <v>818</v>
      </c>
      <c r="G34" s="39" t="s">
        <v>819</v>
      </c>
      <c r="H34" s="40" t="str">
        <f t="shared" si="1"/>
        <v>DJF-Djibouti Franc</v>
      </c>
      <c r="J34" s="126" t="s">
        <v>820</v>
      </c>
      <c r="K34" s="42" t="s">
        <v>821</v>
      </c>
      <c r="L34" s="41" t="str">
        <f t="shared" si="2"/>
        <v>N864-Preference certificate of origin</v>
      </c>
      <c r="N34" s="43" t="s">
        <v>822</v>
      </c>
      <c r="O34" s="44" t="s">
        <v>823</v>
      </c>
      <c r="P34" s="45" t="str">
        <f t="shared" si="3"/>
        <v>BS-Bahamas</v>
      </c>
      <c r="R34" s="80" t="s">
        <v>824</v>
      </c>
      <c r="S34" s="80" t="s">
        <v>825</v>
      </c>
      <c r="T34" s="46" t="str">
        <f t="shared" ref="T34:T39" si="14">CONCATENATE(R34,"-",S34)</f>
        <v>N830-Goods declaration for exportation</v>
      </c>
      <c r="AE34" s="51"/>
      <c r="AF34" s="52" t="s">
        <v>826</v>
      </c>
      <c r="AG34" s="52" t="s">
        <v>402</v>
      </c>
      <c r="AH34" s="53" t="str">
        <f t="shared" si="5"/>
        <v>04131-Packing list</v>
      </c>
      <c r="AV34" s="61" t="s">
        <v>827</v>
      </c>
      <c r="AW34" s="62" t="s">
        <v>828</v>
      </c>
      <c r="AX34" s="63" t="str">
        <f t="shared" si="9"/>
        <v>011-SPAIN</v>
      </c>
      <c r="AZ34" s="89" t="s">
        <v>829</v>
      </c>
      <c r="BA34" s="89" t="s">
        <v>830</v>
      </c>
      <c r="BB34" s="66" t="str">
        <f t="shared" si="12"/>
        <v>KLT-1000 litres</v>
      </c>
      <c r="BH34" s="88" t="s">
        <v>831</v>
      </c>
      <c r="BI34" s="88" t="s">
        <v>832</v>
      </c>
      <c r="BJ34" s="72" t="str">
        <f t="shared" si="11"/>
        <v>Y917-Product not subjected to the provisions of Regulation (EU) No 649/2012 on the export and import of dangerous chemicals, Annex V</v>
      </c>
    </row>
    <row r="35" spans="2:62" ht="15" customHeight="1">
      <c r="B35" s="73" t="s">
        <v>190</v>
      </c>
      <c r="C35" s="74" t="s">
        <v>833</v>
      </c>
      <c r="D35" s="75" t="str">
        <f t="shared" si="0"/>
        <v>AF-Pallet, modular, collars 80 cm × 60 cm</v>
      </c>
      <c r="F35" s="39" t="s">
        <v>834</v>
      </c>
      <c r="G35" s="39" t="s">
        <v>835</v>
      </c>
      <c r="H35" s="40" t="str">
        <f t="shared" si="1"/>
        <v>XAF-Chad, CFA Franc BEAC</v>
      </c>
      <c r="J35" s="126" t="s">
        <v>426</v>
      </c>
      <c r="K35" s="42" t="s">
        <v>836</v>
      </c>
      <c r="L35" s="41" t="str">
        <f t="shared" si="2"/>
        <v>N325-Proforma Invoice</v>
      </c>
      <c r="N35" s="43" t="s">
        <v>837</v>
      </c>
      <c r="O35" s="44" t="s">
        <v>838</v>
      </c>
      <c r="P35" s="45" t="str">
        <f t="shared" si="3"/>
        <v>BT-Bhutan</v>
      </c>
      <c r="R35" s="80" t="s">
        <v>551</v>
      </c>
      <c r="S35" s="80" t="s">
        <v>258</v>
      </c>
      <c r="T35" s="46" t="str">
        <f t="shared" si="14"/>
        <v>N952-TIR carnet</v>
      </c>
      <c r="AE35" s="51"/>
      <c r="AF35" s="52" t="s">
        <v>839</v>
      </c>
      <c r="AG35" s="52" t="s">
        <v>840</v>
      </c>
      <c r="AH35" s="53" t="str">
        <f t="shared" si="5"/>
        <v>04999-Other documents and information</v>
      </c>
      <c r="AV35" s="61" t="s">
        <v>841</v>
      </c>
      <c r="AW35" s="62" t="s">
        <v>842</v>
      </c>
      <c r="AX35" s="63" t="str">
        <f t="shared" si="9"/>
        <v>017-BELGIUM</v>
      </c>
      <c r="AZ35" s="89" t="s">
        <v>843</v>
      </c>
      <c r="BA35" s="89" t="s">
        <v>844</v>
      </c>
      <c r="BB35" s="66" t="str">
        <f t="shared" si="12"/>
        <v>KMA-Kilogram of methylamines</v>
      </c>
      <c r="BH35" s="88" t="s">
        <v>845</v>
      </c>
      <c r="BI35" s="88" t="s">
        <v>846</v>
      </c>
      <c r="BJ35" s="72" t="str">
        <f t="shared" si="11"/>
        <v>Y062-Products which are not containing, consisting of or produced from rice (Commission Implementing Decision 2011/884/EU)</v>
      </c>
    </row>
    <row r="36" spans="2:62" ht="15" customHeight="1">
      <c r="B36" s="73" t="s">
        <v>220</v>
      </c>
      <c r="C36" s="74" t="s">
        <v>847</v>
      </c>
      <c r="D36" s="75" t="str">
        <f t="shared" si="0"/>
        <v>AG-Pallet, shrink-wrapped</v>
      </c>
      <c r="F36" s="39" t="s">
        <v>848</v>
      </c>
      <c r="G36" s="39" t="s">
        <v>849</v>
      </c>
      <c r="H36" s="40" t="str">
        <f t="shared" si="1"/>
        <v>CZK-Czech Koruna</v>
      </c>
      <c r="J36" s="126" t="s">
        <v>807</v>
      </c>
      <c r="K36" s="42" t="s">
        <v>808</v>
      </c>
      <c r="L36" s="41" t="str">
        <f t="shared" si="2"/>
        <v>N825-T2L document</v>
      </c>
      <c r="N36" s="43" t="s">
        <v>850</v>
      </c>
      <c r="O36" s="44" t="s">
        <v>851</v>
      </c>
      <c r="P36" s="45" t="str">
        <f t="shared" si="3"/>
        <v>BV-Bouvet Island</v>
      </c>
      <c r="R36" s="80" t="s">
        <v>180</v>
      </c>
      <c r="S36" s="80" t="s">
        <v>181</v>
      </c>
      <c r="T36" s="46" t="str">
        <f t="shared" si="14"/>
        <v>N955-ATA carnet</v>
      </c>
      <c r="AE36" s="51"/>
      <c r="AF36" s="52" t="s">
        <v>852</v>
      </c>
      <c r="AG36" s="52" t="s">
        <v>853</v>
      </c>
      <c r="AH36" s="53" t="str">
        <f t="shared" si="5"/>
        <v>06011-Certificate of origin CT+1</v>
      </c>
      <c r="AV36" s="61" t="s">
        <v>854</v>
      </c>
      <c r="AW36" s="62" t="s">
        <v>855</v>
      </c>
      <c r="AX36" s="63" t="str">
        <f t="shared" si="9"/>
        <v>018-LUXEMBURG</v>
      </c>
      <c r="AZ36" s="89" t="s">
        <v>856</v>
      </c>
      <c r="BA36" s="89" t="s">
        <v>857</v>
      </c>
      <c r="BB36" s="66" t="str">
        <f t="shared" si="12"/>
        <v>KMT-Kilometre</v>
      </c>
      <c r="BH36" s="88" t="s">
        <v>858</v>
      </c>
      <c r="BI36" s="88" t="s">
        <v>859</v>
      </c>
      <c r="BJ36" s="72" t="str">
        <f t="shared" si="11"/>
        <v>Y066-Products which are not containing or consisting of betel leaves (‘Piper betle’)</v>
      </c>
    </row>
    <row r="37" spans="2:62" ht="15" customHeight="1">
      <c r="B37" s="73" t="s">
        <v>860</v>
      </c>
      <c r="C37" s="74" t="s">
        <v>861</v>
      </c>
      <c r="D37" s="75" t="str">
        <f t="shared" si="0"/>
        <v>AH-Pallet, 100 cm × 110 cm</v>
      </c>
      <c r="F37" s="39" t="s">
        <v>862</v>
      </c>
      <c r="G37" s="39" t="s">
        <v>863</v>
      </c>
      <c r="H37" s="40" t="str">
        <f t="shared" si="1"/>
        <v>CNY-Chinese Yuan Renminbi</v>
      </c>
      <c r="J37" s="126" t="s">
        <v>864</v>
      </c>
      <c r="K37" s="42" t="s">
        <v>865</v>
      </c>
      <c r="L37" s="41" t="str">
        <f t="shared" si="2"/>
        <v>L079-Textile products: import certificate</v>
      </c>
      <c r="N37" s="43" t="s">
        <v>866</v>
      </c>
      <c r="O37" s="44" t="s">
        <v>867</v>
      </c>
      <c r="P37" s="45" t="str">
        <f t="shared" si="3"/>
        <v>BW-Botswana</v>
      </c>
      <c r="R37" s="80" t="s">
        <v>868</v>
      </c>
      <c r="S37" s="80" t="s">
        <v>869</v>
      </c>
      <c r="T37" s="46" t="str">
        <f t="shared" si="14"/>
        <v>NCLE-Reference/date of entry in the declarant's records</v>
      </c>
      <c r="AE37" s="51"/>
      <c r="AF37" s="52" t="s">
        <v>870</v>
      </c>
      <c r="AG37" s="52" t="s">
        <v>871</v>
      </c>
      <c r="AH37" s="53" t="str">
        <f t="shared" si="5"/>
        <v>06013-Certificate of origin A form</v>
      </c>
      <c r="AV37" s="61" t="s">
        <v>872</v>
      </c>
      <c r="AW37" s="62" t="s">
        <v>873</v>
      </c>
      <c r="AX37" s="63" t="str">
        <f t="shared" si="9"/>
        <v>024-ICELAND</v>
      </c>
      <c r="AZ37" s="89" t="s">
        <v>874</v>
      </c>
      <c r="BA37" s="89" t="s">
        <v>875</v>
      </c>
      <c r="BB37" s="66" t="str">
        <f t="shared" si="12"/>
        <v>KNI-Kilogram of nitrogen</v>
      </c>
      <c r="BH37" s="88" t="s">
        <v>876</v>
      </c>
      <c r="BI37" s="88" t="s">
        <v>877</v>
      </c>
      <c r="BJ37" s="72" t="str">
        <f t="shared" si="11"/>
        <v>Y919-Reference Identification Number for chemicals subject to the provisions of Art. 2(3) of Regulation (EU) No 649/2012</v>
      </c>
    </row>
    <row r="38" spans="2:62" ht="15" customHeight="1">
      <c r="B38" s="73" t="s">
        <v>250</v>
      </c>
      <c r="C38" s="74" t="s">
        <v>878</v>
      </c>
      <c r="D38" s="75" t="str">
        <f t="shared" si="0"/>
        <v>AI-Clamshell</v>
      </c>
      <c r="F38" s="39" t="s">
        <v>879</v>
      </c>
      <c r="G38" s="39" t="s">
        <v>880</v>
      </c>
      <c r="H38" s="40" t="str">
        <f t="shared" si="1"/>
        <v>DKK-Danish Krone</v>
      </c>
      <c r="J38" s="126" t="s">
        <v>881</v>
      </c>
      <c r="K38" s="42" t="s">
        <v>882</v>
      </c>
      <c r="L38" s="41" t="str">
        <f t="shared" si="2"/>
        <v>N951-TIF form</v>
      </c>
      <c r="N38" s="43" t="s">
        <v>883</v>
      </c>
      <c r="O38" s="44" t="s">
        <v>884</v>
      </c>
      <c r="P38" s="45" t="str">
        <f t="shared" si="3"/>
        <v>BY-Belarusian</v>
      </c>
      <c r="R38" s="80" t="s">
        <v>885</v>
      </c>
      <c r="S38" s="80" t="s">
        <v>886</v>
      </c>
      <c r="T38" s="46" t="str">
        <f t="shared" si="14"/>
        <v>NMNS-Cargo manifest — simplified procedure</v>
      </c>
      <c r="AE38" s="51"/>
      <c r="AF38" s="52" t="s">
        <v>887</v>
      </c>
      <c r="AG38" s="52" t="s">
        <v>888</v>
      </c>
      <c r="AH38" s="53" t="str">
        <f t="shared" si="5"/>
        <v>06014-Non preferential certificate of origin</v>
      </c>
      <c r="AV38" s="61" t="s">
        <v>889</v>
      </c>
      <c r="AW38" s="62" t="s">
        <v>890</v>
      </c>
      <c r="AX38" s="63" t="str">
        <f t="shared" si="9"/>
        <v>028-NORWAY</v>
      </c>
      <c r="AZ38" s="89" t="s">
        <v>891</v>
      </c>
      <c r="BA38" s="89" t="s">
        <v>892</v>
      </c>
      <c r="BB38" s="66" t="str">
        <f t="shared" si="12"/>
        <v>KNS-Kilogram of hydrogen peroxide</v>
      </c>
      <c r="BH38" s="88" t="s">
        <v>893</v>
      </c>
      <c r="BI38" s="88" t="s">
        <v>894</v>
      </c>
      <c r="BJ38" s="72" t="str">
        <f t="shared" si="11"/>
        <v>Y025-Representative (AEO certificate number)</v>
      </c>
    </row>
    <row r="39" spans="2:62" ht="15" customHeight="1">
      <c r="B39" s="73" t="s">
        <v>895</v>
      </c>
      <c r="C39" s="74" t="s">
        <v>896</v>
      </c>
      <c r="D39" s="75" t="str">
        <f t="shared" si="0"/>
        <v>AJ-Cone</v>
      </c>
      <c r="F39" s="39" t="s">
        <v>897</v>
      </c>
      <c r="G39" s="39" t="s">
        <v>898</v>
      </c>
      <c r="H39" s="40" t="str">
        <f t="shared" si="1"/>
        <v>DOP-Dominican Peso</v>
      </c>
      <c r="J39" s="126" t="s">
        <v>899</v>
      </c>
      <c r="K39" s="42" t="s">
        <v>900</v>
      </c>
      <c r="L39" s="41" t="str">
        <f t="shared" si="2"/>
        <v>Y125-Undertaking importing less than 100 tonnes of CO2 equivalent of hydrofluorocarbons per year and exempted from the reduction of the quantity of hydrofluorocarbons placed on the EU market according to article 15.2 first sub paragraph of Regulation (EU) No 517/2014</v>
      </c>
      <c r="N39" s="43" t="s">
        <v>901</v>
      </c>
      <c r="O39" s="44" t="s">
        <v>902</v>
      </c>
      <c r="P39" s="45" t="str">
        <f t="shared" si="3"/>
        <v>BZ-Belize</v>
      </c>
      <c r="R39" s="91" t="s">
        <v>903</v>
      </c>
      <c r="S39" s="91" t="s">
        <v>904</v>
      </c>
      <c r="T39" s="92" t="str">
        <f t="shared" si="14"/>
        <v>NMRN-Declaration / notification MRN</v>
      </c>
      <c r="AE39" s="51"/>
      <c r="AF39" s="52" t="s">
        <v>905</v>
      </c>
      <c r="AG39" s="52" t="s">
        <v>906</v>
      </c>
      <c r="AH39" s="53" t="str">
        <f t="shared" si="5"/>
        <v>06015-Preliminary decision on the origin of goods</v>
      </c>
      <c r="AV39" s="61" t="s">
        <v>907</v>
      </c>
      <c r="AW39" s="62" t="s">
        <v>908</v>
      </c>
      <c r="AX39" s="63" t="str">
        <f t="shared" si="9"/>
        <v>030-SWEEDEN</v>
      </c>
      <c r="AZ39" s="89" t="s">
        <v>909</v>
      </c>
      <c r="BA39" s="89" t="s">
        <v>910</v>
      </c>
      <c r="BB39" s="66" t="str">
        <f t="shared" si="12"/>
        <v>KPH-Kilogram of potassium hydroxide (caustic potash)</v>
      </c>
      <c r="BH39" s="88" t="s">
        <v>911</v>
      </c>
      <c r="BI39" s="88" t="s">
        <v>912</v>
      </c>
      <c r="BJ39" s="72" t="str">
        <f t="shared" si="11"/>
        <v>Y100-Special entries on the import licence AGRIM</v>
      </c>
    </row>
    <row r="40" spans="2:62" ht="15" customHeight="1">
      <c r="B40" s="73" t="s">
        <v>277</v>
      </c>
      <c r="C40" s="74" t="s">
        <v>913</v>
      </c>
      <c r="D40" s="75" t="str">
        <f t="shared" si="0"/>
        <v>AL-Paleta modular, anillos de 80 x 60 cm</v>
      </c>
      <c r="F40" s="39" t="s">
        <v>246</v>
      </c>
      <c r="G40" s="39" t="s">
        <v>247</v>
      </c>
      <c r="H40" s="40" t="str">
        <f t="shared" si="1"/>
        <v>XCD-East Carribbean Dollar</v>
      </c>
      <c r="J40" s="126" t="s">
        <v>914</v>
      </c>
      <c r="K40" s="42" t="s">
        <v>900</v>
      </c>
      <c r="L40" s="41" t="str">
        <f t="shared" si="2"/>
        <v>Y120-Undertaking importing less than 100 tonnes of CO2 equivalent of hydrofluorocarbons per year and exempted from the reduction of the quantity of hydrofluorocarbons placed on the EU market according to article 15.2 first sub paragraph of Regulation (EU) No 517/2014</v>
      </c>
      <c r="N40" s="43" t="s">
        <v>915</v>
      </c>
      <c r="O40" s="44" t="s">
        <v>916</v>
      </c>
      <c r="P40" s="45" t="str">
        <f t="shared" si="3"/>
        <v>CA-Canada</v>
      </c>
      <c r="AE40" s="51"/>
      <c r="AF40" s="52" t="s">
        <v>917</v>
      </c>
      <c r="AG40" s="52" t="s">
        <v>918</v>
      </c>
      <c r="AH40" s="53" t="str">
        <f t="shared" si="5"/>
        <v>06016-Declaration of origin of the goods</v>
      </c>
      <c r="AV40" s="61" t="s">
        <v>919</v>
      </c>
      <c r="AW40" s="62" t="s">
        <v>920</v>
      </c>
      <c r="AX40" s="63" t="str">
        <f t="shared" si="9"/>
        <v>032-FINLAND</v>
      </c>
      <c r="AZ40" s="89" t="s">
        <v>921</v>
      </c>
      <c r="BA40" s="89" t="s">
        <v>922</v>
      </c>
      <c r="BB40" s="66" t="str">
        <f t="shared" si="12"/>
        <v>KPO-Kilogram of potassium oxide</v>
      </c>
      <c r="BH40" s="88" t="s">
        <v>923</v>
      </c>
      <c r="BI40" s="88" t="s">
        <v>924</v>
      </c>
      <c r="BJ40" s="72" t="str">
        <f t="shared" si="11"/>
        <v>Y930-The declared goods are not concerned by Commission Decision 2007/275/EC and Commission Implementing Regulation (EU) 2019/2007</v>
      </c>
    </row>
    <row r="41" spans="2:62" ht="15" customHeight="1">
      <c r="B41" s="73" t="s">
        <v>303</v>
      </c>
      <c r="C41" s="74" t="s">
        <v>925</v>
      </c>
      <c r="D41" s="75" t="str">
        <f t="shared" si="0"/>
        <v>AM-Ampoule, non-protected</v>
      </c>
      <c r="F41" s="39" t="s">
        <v>834</v>
      </c>
      <c r="G41" s="39" t="s">
        <v>926</v>
      </c>
      <c r="H41" s="40" t="str">
        <f t="shared" si="1"/>
        <v>XAF-Equatorial Guinea, CFA Franc BEAC</v>
      </c>
      <c r="J41" s="126" t="s">
        <v>927</v>
      </c>
      <c r="K41" s="42" t="s">
        <v>928</v>
      </c>
      <c r="L41" s="41" t="str">
        <f t="shared" si="2"/>
        <v>Y124-Undertaking importing smaller amount of fluorinated greenhouse gases per year than that specified in Article 19.1 for bulk imports and 19.4 for products and equipment imports, and therefore not covered by the registration requirement according to Art. 19.1 and 19.4 of Regulation (EU) No 517/2014, and Article 1.2 of Commission Implementing...</v>
      </c>
      <c r="N41" s="43" t="s">
        <v>929</v>
      </c>
      <c r="O41" s="44" t="s">
        <v>930</v>
      </c>
      <c r="P41" s="45" t="str">
        <f t="shared" si="3"/>
        <v>CC-Cocos (Keeling) Is</v>
      </c>
      <c r="AE41" s="51"/>
      <c r="AF41" s="52" t="s">
        <v>931</v>
      </c>
      <c r="AG41" s="52" t="s">
        <v>932</v>
      </c>
      <c r="AH41" s="53" t="str">
        <f t="shared" si="5"/>
        <v>06017-Certificate of origin CT-2</v>
      </c>
      <c r="AV41" s="61" t="s">
        <v>933</v>
      </c>
      <c r="AW41" s="62" t="s">
        <v>934</v>
      </c>
      <c r="AX41" s="63" t="str">
        <f t="shared" si="9"/>
        <v>037-LIECHTENSTEIN</v>
      </c>
      <c r="AZ41" s="89" t="s">
        <v>935</v>
      </c>
      <c r="BA41" s="89" t="s">
        <v>936</v>
      </c>
      <c r="BB41" s="66" t="str">
        <f t="shared" si="12"/>
        <v>KPP-Kilogram of diphosphorus pentaoxide</v>
      </c>
      <c r="BH41" s="88" t="s">
        <v>937</v>
      </c>
      <c r="BI41" s="88" t="s">
        <v>938</v>
      </c>
      <c r="BJ41" s="72" t="str">
        <f t="shared" si="11"/>
        <v>Y942-The declared goods are not concerned by Commission Implementing Regulation (EU) 2016/1141</v>
      </c>
    </row>
    <row r="42" spans="2:62" ht="15" customHeight="1">
      <c r="B42" s="73" t="s">
        <v>939</v>
      </c>
      <c r="C42" s="74" t="s">
        <v>940</v>
      </c>
      <c r="D42" s="75" t="str">
        <f t="shared" si="0"/>
        <v>AP-Ampoule, protected</v>
      </c>
      <c r="F42" s="39" t="s">
        <v>941</v>
      </c>
      <c r="G42" s="39" t="s">
        <v>942</v>
      </c>
      <c r="H42" s="40" t="str">
        <f t="shared" si="1"/>
        <v>SVC-El Salvador Colon</v>
      </c>
      <c r="J42" s="126" t="s">
        <v>943</v>
      </c>
      <c r="K42" s="42" t="s">
        <v>944</v>
      </c>
      <c r="L42" s="41" t="str">
        <f t="shared" si="2"/>
        <v>Y123-Undertaking registered according to Art. 19 of Regulation (EU) No 517/2014, and Article 1.2 of Commission Implementing Regulation (EU) 1191/2014 as amended by Commission Implementing Regulation (EU) 2017/1375</v>
      </c>
      <c r="N42" s="43" t="s">
        <v>945</v>
      </c>
      <c r="O42" s="44" t="s">
        <v>946</v>
      </c>
      <c r="P42" s="45" t="str">
        <f t="shared" si="3"/>
        <v>CD-Congo Dem Rep</v>
      </c>
      <c r="AE42" s="51"/>
      <c r="AF42" s="52" t="s">
        <v>947</v>
      </c>
      <c r="AG42" s="52" t="s">
        <v>948</v>
      </c>
      <c r="AH42" s="53" t="str">
        <f t="shared" si="5"/>
        <v>06018-Certificate of origin EAV</v>
      </c>
      <c r="AV42" s="61" t="s">
        <v>949</v>
      </c>
      <c r="AW42" s="62" t="s">
        <v>950</v>
      </c>
      <c r="AX42" s="63" t="str">
        <f t="shared" si="9"/>
        <v>038-AUSTRIA</v>
      </c>
      <c r="AZ42" s="89" t="s">
        <v>951</v>
      </c>
      <c r="BA42" s="89" t="s">
        <v>952</v>
      </c>
      <c r="BB42" s="66" t="str">
        <f t="shared" si="12"/>
        <v>KSD-Kilogram of substance 90% dry</v>
      </c>
      <c r="BH42" s="88" t="s">
        <v>953</v>
      </c>
      <c r="BI42" s="88" t="s">
        <v>954</v>
      </c>
      <c r="BJ42" s="72" t="str">
        <f t="shared" si="11"/>
        <v>Y928-The declared goods are not concerned by Commission Implementing Regulation (EU) 2019/1787</v>
      </c>
    </row>
    <row r="43" spans="2:62" ht="15" customHeight="1">
      <c r="B43" s="73" t="s">
        <v>448</v>
      </c>
      <c r="C43" s="74" t="s">
        <v>955</v>
      </c>
      <c r="D43" s="75" t="str">
        <f t="shared" si="0"/>
        <v>AT-Atomizer</v>
      </c>
      <c r="F43" s="39" t="s">
        <v>956</v>
      </c>
      <c r="G43" s="39" t="s">
        <v>957</v>
      </c>
      <c r="H43" s="40" t="str">
        <f t="shared" si="1"/>
        <v>IDR-Rupiah</v>
      </c>
      <c r="J43" s="127" t="s">
        <v>958</v>
      </c>
      <c r="K43" s="94" t="s">
        <v>959</v>
      </c>
      <c r="L43" s="93" t="str">
        <f t="shared" si="2"/>
        <v>N861-Universal certificate of origin</v>
      </c>
      <c r="N43" s="43" t="s">
        <v>960</v>
      </c>
      <c r="O43" s="44" t="s">
        <v>961</v>
      </c>
      <c r="P43" s="45" t="str">
        <f t="shared" si="3"/>
        <v>CF-Central African Rep</v>
      </c>
      <c r="AE43" s="51"/>
      <c r="AF43" s="52" t="s">
        <v>962</v>
      </c>
      <c r="AG43" s="52" t="s">
        <v>963</v>
      </c>
      <c r="AH43" s="53" t="str">
        <f t="shared" si="5"/>
        <v>06999-Certificate of origin other</v>
      </c>
      <c r="AV43" s="61" t="s">
        <v>964</v>
      </c>
      <c r="AW43" s="62" t="s">
        <v>965</v>
      </c>
      <c r="AX43" s="63" t="str">
        <f t="shared" si="9"/>
        <v>039-SWITZERLAND</v>
      </c>
      <c r="AZ43" s="89" t="s">
        <v>966</v>
      </c>
      <c r="BA43" s="89" t="s">
        <v>967</v>
      </c>
      <c r="BB43" s="66" t="str">
        <f t="shared" si="12"/>
        <v>KSH-Kilogram of sodium hydroxide (caustic soda)</v>
      </c>
      <c r="BH43" s="88" t="s">
        <v>968</v>
      </c>
      <c r="BI43" s="88" t="s">
        <v>969</v>
      </c>
      <c r="BJ43" s="72" t="str">
        <f t="shared" si="11"/>
        <v>Y937-The declared goods are not concerned by Commission Implementing Regulation (EU) 2019/1793</v>
      </c>
    </row>
    <row r="44" spans="2:62" ht="15" customHeight="1">
      <c r="B44" s="73" t="s">
        <v>970</v>
      </c>
      <c r="C44" s="74" t="s">
        <v>971</v>
      </c>
      <c r="D44" s="75" t="str">
        <f t="shared" si="0"/>
        <v>AV-Capsule</v>
      </c>
      <c r="F44" s="39" t="s">
        <v>972</v>
      </c>
      <c r="G44" s="39" t="s">
        <v>973</v>
      </c>
      <c r="H44" s="40" t="str">
        <f t="shared" si="1"/>
        <v xml:space="preserve">ERN-Nakfa </v>
      </c>
      <c r="J44" s="95"/>
      <c r="L44" s="95"/>
      <c r="N44" s="43" t="s">
        <v>974</v>
      </c>
      <c r="O44" s="44" t="s">
        <v>975</v>
      </c>
      <c r="P44" s="45" t="str">
        <f t="shared" si="3"/>
        <v>CG-Congo</v>
      </c>
      <c r="AE44" s="51"/>
      <c r="AF44" s="52" t="s">
        <v>976</v>
      </c>
      <c r="AG44" s="52" t="s">
        <v>977</v>
      </c>
      <c r="AH44" s="53" t="str">
        <f t="shared" si="5"/>
        <v>09013-Transit declaration</v>
      </c>
      <c r="AV44" s="61" t="s">
        <v>978</v>
      </c>
      <c r="AW44" s="62" t="s">
        <v>979</v>
      </c>
      <c r="AX44" s="63" t="str">
        <f t="shared" si="9"/>
        <v>041-FAROE ISLAND</v>
      </c>
      <c r="AZ44" s="89" t="s">
        <v>980</v>
      </c>
      <c r="BA44" s="89" t="s">
        <v>981</v>
      </c>
      <c r="BB44" s="66" t="str">
        <f t="shared" si="12"/>
        <v>KUR-Kilogram of uranium</v>
      </c>
      <c r="BH44" s="88" t="s">
        <v>982</v>
      </c>
      <c r="BI44" s="88" t="s">
        <v>983</v>
      </c>
      <c r="BJ44" s="72" t="str">
        <f t="shared" si="11"/>
        <v>Y940-The declared goods are not concerned by Commission Implementing Regulation (EU) No 175/2015</v>
      </c>
    </row>
    <row r="45" spans="2:62" ht="15" customHeight="1">
      <c r="B45" s="73" t="s">
        <v>984</v>
      </c>
      <c r="C45" s="74" t="s">
        <v>985</v>
      </c>
      <c r="D45" s="75" t="str">
        <f t="shared" si="0"/>
        <v>B4-Correa</v>
      </c>
      <c r="F45" s="39" t="s">
        <v>986</v>
      </c>
      <c r="G45" s="39" t="s">
        <v>987</v>
      </c>
      <c r="H45" s="40" t="str">
        <f t="shared" si="1"/>
        <v>AMD-Armenian Dram</v>
      </c>
      <c r="J45" s="95"/>
      <c r="L45" s="95"/>
      <c r="N45" s="43" t="s">
        <v>988</v>
      </c>
      <c r="O45" s="44" t="s">
        <v>989</v>
      </c>
      <c r="P45" s="45" t="str">
        <f t="shared" si="3"/>
        <v>CH-Swiss</v>
      </c>
      <c r="AE45" s="51"/>
      <c r="AF45" s="52" t="s">
        <v>990</v>
      </c>
      <c r="AG45" s="52" t="s">
        <v>991</v>
      </c>
      <c r="AH45" s="53" t="str">
        <f t="shared" si="5"/>
        <v>09020-Graphic materials: photos of goods</v>
      </c>
      <c r="AV45" s="61" t="s">
        <v>992</v>
      </c>
      <c r="AW45" s="62" t="s">
        <v>993</v>
      </c>
      <c r="AX45" s="63" t="str">
        <f t="shared" si="9"/>
        <v>043-ANDORRA</v>
      </c>
      <c r="AZ45" s="89" t="s">
        <v>994</v>
      </c>
      <c r="BA45" s="89" t="s">
        <v>995</v>
      </c>
      <c r="BB45" s="66" t="str">
        <f t="shared" si="12"/>
        <v>LPA-Litre pure (100%) alcohol</v>
      </c>
      <c r="BH45" s="88" t="s">
        <v>996</v>
      </c>
      <c r="BI45" s="88" t="s">
        <v>997</v>
      </c>
      <c r="BJ45" s="72" t="str">
        <f t="shared" si="11"/>
        <v>Y927-The declared goods are not concerned by Council Regulation (EC) No. 1005/2008</v>
      </c>
    </row>
    <row r="46" spans="2:62" ht="15" customHeight="1">
      <c r="B46" s="73" t="s">
        <v>561</v>
      </c>
      <c r="C46" s="74" t="s">
        <v>998</v>
      </c>
      <c r="D46" s="75" t="str">
        <f t="shared" si="0"/>
        <v>BA-Barrel</v>
      </c>
      <c r="F46" s="39" t="s">
        <v>999</v>
      </c>
      <c r="G46" s="39" t="s">
        <v>1000</v>
      </c>
      <c r="H46" s="40" t="str">
        <f t="shared" si="1"/>
        <v>ETB-Ethiopian Birr</v>
      </c>
      <c r="J46" s="95"/>
      <c r="L46" s="95"/>
      <c r="N46" s="43" t="s">
        <v>1001</v>
      </c>
      <c r="O46" s="44" t="s">
        <v>1002</v>
      </c>
      <c r="P46" s="45" t="str">
        <f t="shared" si="3"/>
        <v>CI-Côte d'Ivoire</v>
      </c>
      <c r="AE46" s="51"/>
      <c r="AF46" s="52" t="s">
        <v>1003</v>
      </c>
      <c r="AG46" s="52" t="s">
        <v>1004</v>
      </c>
      <c r="AH46" s="53" t="str">
        <f t="shared" si="5"/>
        <v>09021-Graphic materials: schemes, drawings, drawings of goods</v>
      </c>
      <c r="AV46" s="61" t="s">
        <v>1005</v>
      </c>
      <c r="AW46" s="62" t="s">
        <v>1006</v>
      </c>
      <c r="AX46" s="63" t="str">
        <f t="shared" si="9"/>
        <v>044-GIBRALTAR</v>
      </c>
      <c r="AZ46" s="89" t="s">
        <v>1007</v>
      </c>
      <c r="BA46" s="89" t="s">
        <v>1008</v>
      </c>
      <c r="BB46" s="66" t="str">
        <f t="shared" si="12"/>
        <v>LTR-Litre</v>
      </c>
      <c r="BH46" s="88" t="s">
        <v>1009</v>
      </c>
      <c r="BI46" s="88" t="s">
        <v>1010</v>
      </c>
      <c r="BJ46" s="72" t="str">
        <f t="shared" si="11"/>
        <v>Y909-The declared goods are not concerned by Regulation (EC) No. 1984/2003 (and/or Reg. (EU) No. 640/2010).</v>
      </c>
    </row>
    <row r="47" spans="2:62" ht="15" customHeight="1">
      <c r="B47" s="73" t="s">
        <v>579</v>
      </c>
      <c r="C47" s="74" t="s">
        <v>1011</v>
      </c>
      <c r="D47" s="75" t="str">
        <f t="shared" si="0"/>
        <v>BB-Bobbin</v>
      </c>
      <c r="F47" s="39" t="s">
        <v>549</v>
      </c>
      <c r="G47" s="39" t="s">
        <v>1012</v>
      </c>
      <c r="H47" s="40" t="str">
        <f t="shared" si="1"/>
        <v>EUR-Euro</v>
      </c>
      <c r="J47" s="95"/>
      <c r="L47" s="95"/>
      <c r="N47" s="43" t="s">
        <v>1013</v>
      </c>
      <c r="O47" s="44" t="s">
        <v>1014</v>
      </c>
      <c r="P47" s="45" t="str">
        <f t="shared" si="3"/>
        <v>CK-Cook Is</v>
      </c>
      <c r="AE47" s="51"/>
      <c r="AF47" s="52" t="s">
        <v>1015</v>
      </c>
      <c r="AG47" s="52" t="s">
        <v>1016</v>
      </c>
      <c r="AH47" s="53" t="str">
        <f t="shared" si="5"/>
        <v>09022-Graphic materials: technical  documents, catalogs</v>
      </c>
      <c r="AV47" s="61" t="s">
        <v>1017</v>
      </c>
      <c r="AW47" s="62" t="s">
        <v>1018</v>
      </c>
      <c r="AX47" s="63" t="str">
        <f t="shared" si="9"/>
        <v>045-VATICAN</v>
      </c>
      <c r="AZ47" s="89" t="s">
        <v>1019</v>
      </c>
      <c r="BA47" s="89" t="s">
        <v>1020</v>
      </c>
      <c r="BB47" s="66" t="str">
        <f t="shared" si="12"/>
        <v>LTRA-Litre total alcohol</v>
      </c>
      <c r="BH47" s="88" t="s">
        <v>1021</v>
      </c>
      <c r="BI47" s="88" t="s">
        <v>1022</v>
      </c>
      <c r="BJ47" s="72" t="str">
        <f t="shared" si="11"/>
        <v>Y015-The rough diamonds are contained in tamper-resistant containers, and the seals applied at export by the participant (Kimberley process) are not broken</v>
      </c>
    </row>
    <row r="48" spans="2:62" ht="15" customHeight="1">
      <c r="B48" s="73" t="s">
        <v>1023</v>
      </c>
      <c r="C48" s="74" t="s">
        <v>1024</v>
      </c>
      <c r="D48" s="75" t="str">
        <f t="shared" si="0"/>
        <v>BC-Bottle crate, bottle rack</v>
      </c>
      <c r="F48" s="39" t="s">
        <v>1025</v>
      </c>
      <c r="G48" s="39" t="s">
        <v>1026</v>
      </c>
      <c r="H48" s="40" t="str">
        <f t="shared" si="1"/>
        <v>FKP-Falkland Islands Pound</v>
      </c>
      <c r="J48" s="95"/>
      <c r="L48" s="95"/>
      <c r="N48" s="43" t="s">
        <v>1027</v>
      </c>
      <c r="O48" s="44" t="s">
        <v>1028</v>
      </c>
      <c r="P48" s="45" t="str">
        <f t="shared" si="3"/>
        <v>CL-Chile</v>
      </c>
      <c r="AE48" s="51"/>
      <c r="AF48" s="52" t="s">
        <v>1029</v>
      </c>
      <c r="AG48" s="52" t="s">
        <v>1030</v>
      </c>
      <c r="AH48" s="53" t="str">
        <f t="shared" si="5"/>
        <v>09025-Information on the completion of the customs transit procedure</v>
      </c>
      <c r="AV48" s="61" t="s">
        <v>1031</v>
      </c>
      <c r="AW48" s="62" t="s">
        <v>1032</v>
      </c>
      <c r="AX48" s="63" t="str">
        <f t="shared" si="9"/>
        <v>046-MALTA</v>
      </c>
      <c r="AZ48" s="89" t="s">
        <v>1033</v>
      </c>
      <c r="BA48" s="89" t="s">
        <v>1034</v>
      </c>
      <c r="BB48" s="66" t="str">
        <f t="shared" si="12"/>
        <v>MIL-1000 items</v>
      </c>
      <c r="BH48" s="88" t="s">
        <v>1035</v>
      </c>
      <c r="BI48" s="88" t="s">
        <v>1036</v>
      </c>
      <c r="BJ48" s="72" t="str">
        <f t="shared" si="11"/>
        <v>Y031-This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v>
      </c>
    </row>
    <row r="49" spans="2:62" ht="15" customHeight="1">
      <c r="B49" s="73" t="s">
        <v>595</v>
      </c>
      <c r="C49" s="74" t="s">
        <v>1037</v>
      </c>
      <c r="D49" s="75" t="str">
        <f t="shared" si="0"/>
        <v>BD-Board</v>
      </c>
      <c r="F49" s="39" t="s">
        <v>1038</v>
      </c>
      <c r="G49" s="39" t="s">
        <v>1039</v>
      </c>
      <c r="H49" s="40" t="str">
        <f t="shared" si="1"/>
        <v>MAD-Moroccan Dirham</v>
      </c>
      <c r="J49" s="95"/>
      <c r="L49" s="95"/>
      <c r="N49" s="43" t="s">
        <v>1040</v>
      </c>
      <c r="O49" s="44" t="s">
        <v>1041</v>
      </c>
      <c r="P49" s="45" t="str">
        <f t="shared" si="3"/>
        <v>CM-Cameroon</v>
      </c>
      <c r="AE49" s="51"/>
      <c r="AF49" s="52" t="s">
        <v>1042</v>
      </c>
      <c r="AG49" s="52" t="s">
        <v>1043</v>
      </c>
      <c r="AH49" s="53" t="str">
        <f t="shared" si="5"/>
        <v>09028-Act of veterinary and sanitary inspection</v>
      </c>
      <c r="AV49" s="61" t="s">
        <v>1044</v>
      </c>
      <c r="AW49" s="62" t="s">
        <v>1045</v>
      </c>
      <c r="AX49" s="63" t="str">
        <f t="shared" si="9"/>
        <v>047-SAN MARINO</v>
      </c>
      <c r="AZ49" s="89" t="s">
        <v>1046</v>
      </c>
      <c r="BA49" s="89" t="s">
        <v>1047</v>
      </c>
      <c r="BB49" s="66" t="str">
        <f t="shared" si="12"/>
        <v>MPR-1000 pairs (used for statistical surveillance)</v>
      </c>
      <c r="BH49" s="88" t="s">
        <v>1048</v>
      </c>
      <c r="BI49" s="88" t="s">
        <v>1049</v>
      </c>
      <c r="BJ49" s="72" t="str">
        <f t="shared" si="11"/>
        <v>Y064-Timber and timber products originating in or dispatched from a country partner in a FLEGT Voluntary Partnership Agreement (VPA) exported prior to the entry into force of the VPA</v>
      </c>
    </row>
    <row r="50" spans="2:62" ht="15" customHeight="1">
      <c r="B50" s="73" t="s">
        <v>612</v>
      </c>
      <c r="C50" s="74" t="s">
        <v>1050</v>
      </c>
      <c r="D50" s="75" t="str">
        <f t="shared" si="0"/>
        <v>BE-Bundle</v>
      </c>
      <c r="F50" s="39" t="s">
        <v>1051</v>
      </c>
      <c r="G50" s="39" t="s">
        <v>1052</v>
      </c>
      <c r="H50" s="40" t="str">
        <f t="shared" si="1"/>
        <v>FJD-Fiji Dollar</v>
      </c>
      <c r="J50" s="95"/>
      <c r="L50" s="95"/>
      <c r="N50" s="43" t="s">
        <v>1053</v>
      </c>
      <c r="O50" s="44" t="s">
        <v>1054</v>
      </c>
      <c r="P50" s="45" t="str">
        <f t="shared" si="3"/>
        <v>CN-China</v>
      </c>
      <c r="AE50" s="51"/>
      <c r="AF50" s="52" t="s">
        <v>1055</v>
      </c>
      <c r="AG50" s="52" t="s">
        <v>1056</v>
      </c>
      <c r="AH50" s="53" t="str">
        <f t="shared" si="5"/>
        <v>09029-Act of quarantine phytosanitary control</v>
      </c>
      <c r="AV50" s="61" t="s">
        <v>1057</v>
      </c>
      <c r="AW50" s="62" t="s">
        <v>1058</v>
      </c>
      <c r="AX50" s="63" t="str">
        <f t="shared" si="9"/>
        <v>052-TURKEY</v>
      </c>
      <c r="AZ50" s="89" t="s">
        <v>1059</v>
      </c>
      <c r="BA50" s="89" t="s">
        <v>1060</v>
      </c>
      <c r="BB50" s="66" t="str">
        <f t="shared" si="12"/>
        <v>MTK-Square metre</v>
      </c>
      <c r="BH50" s="96" t="s">
        <v>1061</v>
      </c>
      <c r="BI50" s="96" t="s">
        <v>1062</v>
      </c>
      <c r="BJ50" s="72" t="str">
        <f t="shared" si="11"/>
        <v>Y027-Warehousekeeper (AEO certificate number)</v>
      </c>
    </row>
    <row r="51" spans="2:62" ht="30">
      <c r="B51" s="97" t="s">
        <v>631</v>
      </c>
      <c r="C51" s="97" t="s">
        <v>1063</v>
      </c>
      <c r="D51" s="75" t="str">
        <f t="shared" si="0"/>
        <v>BF-Balloon, non-protected</v>
      </c>
      <c r="F51" s="39" t="s">
        <v>537</v>
      </c>
      <c r="G51" s="39" t="s">
        <v>1064</v>
      </c>
      <c r="H51" s="40" t="str">
        <f t="shared" si="1"/>
        <v>XOF-Cote D'Ivoire, CFA Franc BCEAO</v>
      </c>
      <c r="J51" s="95"/>
      <c r="L51" s="95"/>
      <c r="N51" s="43" t="s">
        <v>1065</v>
      </c>
      <c r="O51" s="44" t="s">
        <v>1066</v>
      </c>
      <c r="P51" s="45" t="str">
        <f t="shared" si="3"/>
        <v>CO-Colombia</v>
      </c>
      <c r="AE51" s="51"/>
      <c r="AF51" s="52" t="s">
        <v>1067</v>
      </c>
      <c r="AG51" s="52" t="s">
        <v>1068</v>
      </c>
      <c r="AH51" s="53" t="str">
        <f t="shared" si="5"/>
        <v>09030-Act of sanitary-quarantine inspection</v>
      </c>
      <c r="AV51" s="61" t="s">
        <v>1069</v>
      </c>
      <c r="AW51" s="62" t="s">
        <v>1070</v>
      </c>
      <c r="AX51" s="63" t="str">
        <f t="shared" si="9"/>
        <v>053-ESTONIA</v>
      </c>
      <c r="AZ51" s="89" t="s">
        <v>1071</v>
      </c>
      <c r="BA51" s="89" t="s">
        <v>1072</v>
      </c>
      <c r="BB51" s="66" t="str">
        <f t="shared" si="12"/>
        <v>MTQ-Cubic metre (m³)</v>
      </c>
    </row>
    <row r="52" spans="2:62" ht="30">
      <c r="B52" s="97" t="s">
        <v>649</v>
      </c>
      <c r="C52" s="97" t="s">
        <v>1073</v>
      </c>
      <c r="D52" s="75" t="str">
        <f t="shared" si="0"/>
        <v>BG-Bag</v>
      </c>
      <c r="F52" s="39" t="s">
        <v>1074</v>
      </c>
      <c r="G52" s="39" t="s">
        <v>1075</v>
      </c>
      <c r="H52" s="40" t="str">
        <f t="shared" si="1"/>
        <v>PHP-Philippine Peso</v>
      </c>
      <c r="J52" s="95"/>
      <c r="L52" s="95"/>
      <c r="N52" s="43" t="s">
        <v>1076</v>
      </c>
      <c r="O52" s="44" t="s">
        <v>1077</v>
      </c>
      <c r="P52" s="45" t="str">
        <f t="shared" si="3"/>
        <v>CR-Costa Rica</v>
      </c>
      <c r="AE52" s="51"/>
      <c r="AF52" s="52" t="s">
        <v>1078</v>
      </c>
      <c r="AG52" s="52" t="s">
        <v>1079</v>
      </c>
      <c r="AH52" s="53" t="str">
        <f t="shared" si="5"/>
        <v>09035-Declaration for goods except document under code 09031</v>
      </c>
      <c r="AV52" s="61" t="s">
        <v>1080</v>
      </c>
      <c r="AW52" s="62" t="s">
        <v>1081</v>
      </c>
      <c r="AX52" s="63" t="str">
        <f t="shared" si="9"/>
        <v>054-LETONIA</v>
      </c>
      <c r="AZ52" s="89" t="s">
        <v>1082</v>
      </c>
      <c r="BA52" s="89" t="s">
        <v>1083</v>
      </c>
      <c r="BB52" s="66" t="str">
        <f t="shared" si="12"/>
        <v>MTQC-Cubic metre 1 000</v>
      </c>
    </row>
    <row r="53" spans="2:62" ht="15">
      <c r="B53" s="97" t="s">
        <v>667</v>
      </c>
      <c r="C53" s="97" t="s">
        <v>1084</v>
      </c>
      <c r="D53" s="75" t="str">
        <f t="shared" si="0"/>
        <v>BH-Bunch</v>
      </c>
      <c r="F53" s="39" t="s">
        <v>1085</v>
      </c>
      <c r="G53" s="39" t="s">
        <v>1086</v>
      </c>
      <c r="H53" s="40" t="str">
        <f t="shared" si="1"/>
        <v>XPF-CFP Franc</v>
      </c>
      <c r="J53" s="95"/>
      <c r="L53" s="95"/>
      <c r="N53" s="43" t="s">
        <v>1087</v>
      </c>
      <c r="O53" s="44" t="s">
        <v>1088</v>
      </c>
      <c r="P53" s="45" t="str">
        <f t="shared" si="3"/>
        <v>CU-Cuba</v>
      </c>
      <c r="AE53" s="51"/>
      <c r="AF53" s="52" t="s">
        <v>1089</v>
      </c>
      <c r="AG53" s="52" t="s">
        <v>1090</v>
      </c>
      <c r="AH53" s="53" t="str">
        <f t="shared" si="5"/>
        <v>09036-Vehicle declaration</v>
      </c>
      <c r="AV53" s="61" t="s">
        <v>1091</v>
      </c>
      <c r="AW53" s="62" t="s">
        <v>1092</v>
      </c>
      <c r="AX53" s="63" t="str">
        <f t="shared" si="9"/>
        <v>055-LITHUANIA</v>
      </c>
      <c r="AZ53" s="89" t="s">
        <v>1093</v>
      </c>
      <c r="BA53" s="89" t="s">
        <v>1094</v>
      </c>
      <c r="BB53" s="66" t="str">
        <f t="shared" si="12"/>
        <v>MTR-Metre</v>
      </c>
    </row>
    <row r="54" spans="2:62" ht="15">
      <c r="B54" s="97" t="s">
        <v>686</v>
      </c>
      <c r="C54" s="97" t="s">
        <v>1095</v>
      </c>
      <c r="D54" s="75" t="str">
        <f t="shared" si="0"/>
        <v>BI-Bin</v>
      </c>
      <c r="F54" s="39" t="s">
        <v>834</v>
      </c>
      <c r="G54" s="39" t="s">
        <v>1096</v>
      </c>
      <c r="H54" s="40" t="str">
        <f t="shared" si="1"/>
        <v>XAF-Gabon, CFA Franc BEAC</v>
      </c>
      <c r="J54" s="95"/>
      <c r="L54" s="95"/>
      <c r="N54" s="43" t="s">
        <v>1097</v>
      </c>
      <c r="O54" s="44" t="s">
        <v>1098</v>
      </c>
      <c r="P54" s="45" t="str">
        <f t="shared" si="3"/>
        <v>CV-Cape Verde</v>
      </c>
      <c r="AE54" s="51"/>
      <c r="AF54" s="52" t="s">
        <v>1099</v>
      </c>
      <c r="AG54" s="52" t="s">
        <v>1100</v>
      </c>
      <c r="AH54" s="53" t="str">
        <f t="shared" si="5"/>
        <v>09999-Other documents</v>
      </c>
      <c r="AV54" s="61" t="s">
        <v>1101</v>
      </c>
      <c r="AW54" s="62" t="s">
        <v>1102</v>
      </c>
      <c r="AX54" s="63" t="str">
        <f t="shared" si="9"/>
        <v>060-POLAND</v>
      </c>
      <c r="AZ54" s="89" t="s">
        <v>1103</v>
      </c>
      <c r="BA54" s="89" t="s">
        <v>1104</v>
      </c>
      <c r="BB54" s="66" t="str">
        <f t="shared" si="12"/>
        <v>MWH-1000 kilowatt hours</v>
      </c>
    </row>
    <row r="55" spans="2:62" ht="15">
      <c r="B55" s="97" t="s">
        <v>704</v>
      </c>
      <c r="C55" s="97" t="s">
        <v>1105</v>
      </c>
      <c r="D55" s="75" t="str">
        <f t="shared" si="0"/>
        <v>BJ-Bucket</v>
      </c>
      <c r="F55" s="39" t="s">
        <v>1106</v>
      </c>
      <c r="G55" s="39" t="s">
        <v>1107</v>
      </c>
      <c r="H55" s="40" t="str">
        <f t="shared" si="1"/>
        <v>GMD-Gambian Dalasi</v>
      </c>
      <c r="J55" s="95"/>
      <c r="L55" s="95"/>
      <c r="N55" s="90" t="s">
        <v>1108</v>
      </c>
      <c r="O55" s="90" t="s">
        <v>1109</v>
      </c>
      <c r="P55" s="90" t="str">
        <f t="shared" si="3"/>
        <v>CW-Curaçao</v>
      </c>
      <c r="AE55" s="51"/>
      <c r="AF55" s="52" t="s">
        <v>1110</v>
      </c>
      <c r="AG55" s="52" t="s">
        <v>1111</v>
      </c>
      <c r="AH55" s="53" t="str">
        <f t="shared" si="5"/>
        <v>10060-Preliminary information</v>
      </c>
      <c r="AV55" s="61" t="s">
        <v>1112</v>
      </c>
      <c r="AW55" s="62" t="s">
        <v>1113</v>
      </c>
      <c r="AX55" s="63" t="str">
        <f t="shared" si="9"/>
        <v>061-CZECH REPUBLIC</v>
      </c>
      <c r="AZ55" s="89" t="s">
        <v>1114</v>
      </c>
      <c r="BA55" s="89" t="s">
        <v>1115</v>
      </c>
      <c r="BB55" s="66" t="str">
        <f t="shared" si="12"/>
        <v>NAR-Number of items</v>
      </c>
    </row>
    <row r="56" spans="2:62" ht="15">
      <c r="B56" s="97" t="s">
        <v>1116</v>
      </c>
      <c r="C56" s="97" t="s">
        <v>1117</v>
      </c>
      <c r="D56" s="75" t="str">
        <f t="shared" si="0"/>
        <v>BK-Basket</v>
      </c>
      <c r="F56" s="39" t="s">
        <v>1118</v>
      </c>
      <c r="G56" s="39" t="s">
        <v>1119</v>
      </c>
      <c r="H56" s="40" t="str">
        <f t="shared" si="1"/>
        <v>GHS-Ghanaian Cedi</v>
      </c>
      <c r="J56" s="95"/>
      <c r="L56" s="95"/>
      <c r="N56" s="43" t="s">
        <v>1120</v>
      </c>
      <c r="O56" s="44" t="s">
        <v>1121</v>
      </c>
      <c r="P56" s="45" t="str">
        <f t="shared" si="3"/>
        <v>CX-Christmas Island</v>
      </c>
      <c r="AE56" s="51"/>
      <c r="AF56" s="52" t="s">
        <v>1122</v>
      </c>
      <c r="AG56" s="52" t="s">
        <v>1123</v>
      </c>
      <c r="AH56" s="53" t="str">
        <f t="shared" si="5"/>
        <v>10999-Other information</v>
      </c>
      <c r="AV56" s="61" t="s">
        <v>1124</v>
      </c>
      <c r="AW56" s="62" t="s">
        <v>1125</v>
      </c>
      <c r="AX56" s="63" t="str">
        <f t="shared" si="9"/>
        <v>063-SLOVAKIA</v>
      </c>
      <c r="AZ56" s="89" t="s">
        <v>1126</v>
      </c>
      <c r="BA56" s="89" t="s">
        <v>1127</v>
      </c>
      <c r="BB56" s="66" t="str">
        <f t="shared" si="12"/>
        <v>NARB-Number of items per flask</v>
      </c>
    </row>
    <row r="57" spans="2:62" ht="15">
      <c r="B57" s="97" t="s">
        <v>723</v>
      </c>
      <c r="C57" s="97" t="s">
        <v>1128</v>
      </c>
      <c r="D57" s="75" t="str">
        <f t="shared" si="0"/>
        <v>BL-Bale, compressed</v>
      </c>
      <c r="F57" s="39" t="s">
        <v>1129</v>
      </c>
      <c r="G57" s="39" t="s">
        <v>1130</v>
      </c>
      <c r="H57" s="40" t="str">
        <f t="shared" si="1"/>
        <v>GNF-Guinea Franc</v>
      </c>
      <c r="J57" s="95"/>
      <c r="L57" s="95"/>
      <c r="N57" s="43" t="s">
        <v>1131</v>
      </c>
      <c r="O57" s="44" t="s">
        <v>1132</v>
      </c>
      <c r="P57" s="45" t="str">
        <f t="shared" si="3"/>
        <v>CY-Cypriot</v>
      </c>
      <c r="AE57" s="51"/>
      <c r="AF57" s="52" t="s">
        <v>1133</v>
      </c>
      <c r="AG57" s="52" t="s">
        <v>1134</v>
      </c>
      <c r="AH57" s="53" t="str">
        <f t="shared" si="5"/>
        <v>11001-Identity document</v>
      </c>
      <c r="AV57" s="61" t="s">
        <v>1135</v>
      </c>
      <c r="AW57" s="62" t="s">
        <v>1136</v>
      </c>
      <c r="AX57" s="63" t="str">
        <f t="shared" si="9"/>
        <v>064-HUNGARY</v>
      </c>
      <c r="AZ57" s="89" t="s">
        <v>1137</v>
      </c>
      <c r="BA57" s="89" t="s">
        <v>1138</v>
      </c>
      <c r="BB57" s="66" t="str">
        <f t="shared" si="12"/>
        <v>NCL-Number of cells</v>
      </c>
    </row>
    <row r="58" spans="2:62" ht="45">
      <c r="B58" s="97" t="s">
        <v>740</v>
      </c>
      <c r="C58" s="97" t="s">
        <v>1139</v>
      </c>
      <c r="D58" s="75" t="str">
        <f t="shared" si="0"/>
        <v>BM-Basin</v>
      </c>
      <c r="F58" s="39" t="s">
        <v>537</v>
      </c>
      <c r="G58" s="39" t="s">
        <v>1140</v>
      </c>
      <c r="H58" s="40" t="str">
        <f t="shared" si="1"/>
        <v xml:space="preserve">XOF-CFA Frangı BCEAO </v>
      </c>
      <c r="J58" s="95"/>
      <c r="L58" s="95"/>
      <c r="N58" s="43" t="s">
        <v>1141</v>
      </c>
      <c r="O58" s="44" t="s">
        <v>1142</v>
      </c>
      <c r="P58" s="45" t="str">
        <f t="shared" si="3"/>
        <v>CZ-Czech</v>
      </c>
      <c r="AE58" s="51"/>
      <c r="AF58" s="52" t="s">
        <v>1143</v>
      </c>
      <c r="AG58" s="52" t="s">
        <v>1144</v>
      </c>
      <c r="AH58" s="53" t="str">
        <f t="shared" si="5"/>
        <v>11002-Agreement between the declarant and the customs representative</v>
      </c>
      <c r="AV58" s="61" t="s">
        <v>1145</v>
      </c>
      <c r="AW58" s="62" t="s">
        <v>1146</v>
      </c>
      <c r="AX58" s="63" t="str">
        <f t="shared" si="9"/>
        <v>066-ROMANIA</v>
      </c>
      <c r="AZ58" s="89" t="s">
        <v>1147</v>
      </c>
      <c r="BA58" s="89" t="s">
        <v>1148</v>
      </c>
      <c r="BB58" s="66" t="str">
        <f t="shared" si="12"/>
        <v>NPR-Number of pairs</v>
      </c>
    </row>
    <row r="59" spans="2:62" ht="15">
      <c r="B59" s="97" t="s">
        <v>757</v>
      </c>
      <c r="C59" s="97" t="s">
        <v>1149</v>
      </c>
      <c r="D59" s="75" t="str">
        <f t="shared" si="0"/>
        <v>BN-Bale, non-compressed</v>
      </c>
      <c r="F59" s="39" t="s">
        <v>246</v>
      </c>
      <c r="G59" s="39" t="s">
        <v>1150</v>
      </c>
      <c r="H59" s="40" t="str">
        <f t="shared" si="1"/>
        <v>XCD-East Caribbean Dollar</v>
      </c>
      <c r="J59" s="95"/>
      <c r="L59" s="95"/>
      <c r="N59" s="43" t="s">
        <v>1151</v>
      </c>
      <c r="O59" s="44" t="s">
        <v>1152</v>
      </c>
      <c r="P59" s="45" t="str">
        <f t="shared" si="3"/>
        <v>DE-German</v>
      </c>
      <c r="AE59" s="51"/>
      <c r="AF59" s="52" t="s">
        <v>1153</v>
      </c>
      <c r="AG59" s="52" t="s">
        <v>1154</v>
      </c>
      <c r="AH59" s="53" t="str">
        <f t="shared" si="5"/>
        <v>11003-Authorization</v>
      </c>
      <c r="AV59" s="61" t="s">
        <v>1155</v>
      </c>
      <c r="AW59" s="62" t="s">
        <v>1156</v>
      </c>
      <c r="AX59" s="63" t="str">
        <f t="shared" si="9"/>
        <v>068-BULGARIA</v>
      </c>
      <c r="AZ59" s="89" t="s">
        <v>1157</v>
      </c>
      <c r="BA59" s="89" t="s">
        <v>1158</v>
      </c>
      <c r="BB59" s="66" t="str">
        <f t="shared" si="12"/>
        <v>TJO-Terajoule (gross calorific value)</v>
      </c>
    </row>
    <row r="60" spans="2:62" ht="30">
      <c r="B60" s="97" t="s">
        <v>777</v>
      </c>
      <c r="C60" s="97" t="s">
        <v>1159</v>
      </c>
      <c r="D60" s="75" t="str">
        <f t="shared" si="0"/>
        <v>BO-Bottle, non-protected, cylindrical</v>
      </c>
      <c r="F60" s="39" t="s">
        <v>1160</v>
      </c>
      <c r="G60" s="39" t="s">
        <v>1161</v>
      </c>
      <c r="H60" s="40" t="str">
        <f t="shared" si="1"/>
        <v>GTQ-Guatemalan Quetzal</v>
      </c>
      <c r="J60" s="95"/>
      <c r="L60" s="95"/>
      <c r="N60" s="43" t="s">
        <v>1162</v>
      </c>
      <c r="O60" s="44" t="s">
        <v>1163</v>
      </c>
      <c r="P60" s="45" t="str">
        <f t="shared" si="3"/>
        <v>DJ-Djibouti</v>
      </c>
      <c r="AE60" s="51"/>
      <c r="AF60" s="52">
        <v>10052</v>
      </c>
      <c r="AG60" s="52" t="s">
        <v>1164</v>
      </c>
      <c r="AH60" s="53" t="str">
        <f t="shared" si="5"/>
        <v>10052-Information on the inclusion of notifications in a single registry</v>
      </c>
      <c r="AV60" s="61" t="s">
        <v>1165</v>
      </c>
      <c r="AW60" s="62" t="s">
        <v>1166</v>
      </c>
      <c r="AX60" s="63" t="str">
        <f t="shared" si="9"/>
        <v>070-ALBANIA</v>
      </c>
      <c r="AZ60" s="89" t="s">
        <v>1167</v>
      </c>
      <c r="BA60" s="89" t="s">
        <v>1168</v>
      </c>
      <c r="BB60" s="66" t="str">
        <f t="shared" si="12"/>
        <v>TNE-Tonne</v>
      </c>
    </row>
    <row r="61" spans="2:62" ht="15">
      <c r="B61" s="97" t="s">
        <v>1169</v>
      </c>
      <c r="C61" s="97" t="s">
        <v>1170</v>
      </c>
      <c r="D61" s="75" t="str">
        <f t="shared" si="0"/>
        <v>BP-Balloon, protected</v>
      </c>
      <c r="F61" s="39" t="s">
        <v>1171</v>
      </c>
      <c r="G61" s="39" t="s">
        <v>1172</v>
      </c>
      <c r="H61" s="40" t="str">
        <f t="shared" si="1"/>
        <v>GYD-Guyanan Dollar</v>
      </c>
      <c r="J61" s="95"/>
      <c r="L61" s="95"/>
      <c r="N61" s="43" t="s">
        <v>1173</v>
      </c>
      <c r="O61" s="44" t="s">
        <v>1174</v>
      </c>
      <c r="P61" s="45" t="str">
        <f t="shared" si="3"/>
        <v>DK-Danish</v>
      </c>
      <c r="AE61" s="51"/>
      <c r="AF61" s="52" t="s">
        <v>1175</v>
      </c>
      <c r="AG61" s="52" t="s">
        <v>1175</v>
      </c>
      <c r="AH61" s="53" t="str">
        <f t="shared" si="5"/>
        <v>01021-01021</v>
      </c>
      <c r="AV61" s="61" t="s">
        <v>1176</v>
      </c>
      <c r="AW61" s="62" t="s">
        <v>1177</v>
      </c>
      <c r="AX61" s="63" t="str">
        <f t="shared" si="9"/>
        <v>072-UKRAINE</v>
      </c>
      <c r="AZ61" s="89" t="s">
        <v>1178</v>
      </c>
      <c r="BA61" s="89" t="s">
        <v>1179</v>
      </c>
      <c r="BB61" s="66" t="str">
        <f t="shared" si="12"/>
        <v>TNEE-Tonne of drained net weight</v>
      </c>
    </row>
    <row r="62" spans="2:62" ht="15">
      <c r="B62" s="97" t="s">
        <v>791</v>
      </c>
      <c r="C62" s="97" t="s">
        <v>1180</v>
      </c>
      <c r="D62" s="75" t="str">
        <f t="shared" si="0"/>
        <v>BQ-Bottle, protected, cylindrical</v>
      </c>
      <c r="F62" s="39" t="s">
        <v>1181</v>
      </c>
      <c r="G62" s="39" t="s">
        <v>1182</v>
      </c>
      <c r="H62" s="40" t="str">
        <f t="shared" si="1"/>
        <v>XAG-Silver (oz.)</v>
      </c>
      <c r="J62" s="95"/>
      <c r="L62" s="95"/>
      <c r="N62" s="43" t="s">
        <v>1183</v>
      </c>
      <c r="O62" s="44" t="s">
        <v>1184</v>
      </c>
      <c r="P62" s="45" t="str">
        <f t="shared" si="3"/>
        <v>DM-Dominica</v>
      </c>
      <c r="AE62" s="51"/>
      <c r="AF62" s="52" t="s">
        <v>1185</v>
      </c>
      <c r="AG62" s="52" t="s">
        <v>1185</v>
      </c>
      <c r="AH62" s="53" t="str">
        <f t="shared" si="5"/>
        <v>01031-01031</v>
      </c>
      <c r="AV62" s="61" t="s">
        <v>1186</v>
      </c>
      <c r="AW62" s="62" t="s">
        <v>1187</v>
      </c>
      <c r="AX62" s="63" t="str">
        <f t="shared" si="9"/>
        <v>073-BELARUS</v>
      </c>
      <c r="AZ62" s="89" t="s">
        <v>1188</v>
      </c>
      <c r="BA62" s="89" t="s">
        <v>1189</v>
      </c>
      <c r="BB62" s="66" t="str">
        <f t="shared" si="12"/>
        <v>TNEI-Tonne of biodiesel content</v>
      </c>
    </row>
    <row r="63" spans="2:62" ht="26.25">
      <c r="B63" s="97" t="s">
        <v>805</v>
      </c>
      <c r="C63" s="97" t="s">
        <v>1190</v>
      </c>
      <c r="D63" s="75" t="str">
        <f t="shared" si="0"/>
        <v>BR-Bar</v>
      </c>
      <c r="F63" s="39" t="s">
        <v>1191</v>
      </c>
      <c r="G63" s="39" t="s">
        <v>1192</v>
      </c>
      <c r="H63" s="40" t="str">
        <f t="shared" si="1"/>
        <v>ZAR-South African Rand</v>
      </c>
      <c r="J63" s="95"/>
      <c r="L63" s="95"/>
      <c r="N63" s="43" t="s">
        <v>1193</v>
      </c>
      <c r="O63" s="44" t="s">
        <v>1194</v>
      </c>
      <c r="P63" s="45" t="str">
        <f t="shared" si="3"/>
        <v>DO-Dominican Republic</v>
      </c>
      <c r="AE63" s="51"/>
      <c r="AF63" s="52" t="s">
        <v>1195</v>
      </c>
      <c r="AG63" s="52" t="s">
        <v>1195</v>
      </c>
      <c r="AH63" s="53" t="str">
        <f t="shared" si="5"/>
        <v>01041-01041</v>
      </c>
      <c r="AV63" s="61" t="s">
        <v>1196</v>
      </c>
      <c r="AW63" s="62" t="s">
        <v>1197</v>
      </c>
      <c r="AX63" s="63" t="str">
        <f t="shared" si="9"/>
        <v>074-MOLDOVA</v>
      </c>
      <c r="AZ63" s="89" t="s">
        <v>1198</v>
      </c>
      <c r="BA63" s="89" t="s">
        <v>1199</v>
      </c>
      <c r="BB63" s="66" t="str">
        <f t="shared" si="12"/>
        <v>TNEJ-Tonne of fuel content (usually in form of tallow, stearin, paraffin wax or other waxes, including the wick)</v>
      </c>
    </row>
    <row r="64" spans="2:62" ht="15">
      <c r="B64" s="97" t="s">
        <v>822</v>
      </c>
      <c r="C64" s="97" t="s">
        <v>1200</v>
      </c>
      <c r="D64" s="75" t="str">
        <f t="shared" si="0"/>
        <v>BS-Bottle, non-protected, bulbous</v>
      </c>
      <c r="F64" s="39" t="s">
        <v>1201</v>
      </c>
      <c r="G64" s="39" t="s">
        <v>1202</v>
      </c>
      <c r="H64" s="40" t="str">
        <f t="shared" si="1"/>
        <v>SSP-South Sudanese Pound </v>
      </c>
      <c r="J64" s="95"/>
      <c r="L64" s="95"/>
      <c r="N64" s="43" t="s">
        <v>1203</v>
      </c>
      <c r="O64" s="44" t="s">
        <v>1204</v>
      </c>
      <c r="P64" s="45" t="str">
        <f t="shared" si="3"/>
        <v>DZ-Algeria</v>
      </c>
      <c r="AE64" s="51"/>
      <c r="AF64" s="52" t="s">
        <v>1205</v>
      </c>
      <c r="AG64" s="52" t="s">
        <v>1205</v>
      </c>
      <c r="AH64" s="53" t="str">
        <f t="shared" si="5"/>
        <v>01071-01071</v>
      </c>
      <c r="AV64" s="61" t="s">
        <v>1206</v>
      </c>
      <c r="AW64" s="62" t="s">
        <v>1207</v>
      </c>
      <c r="AX64" s="63" t="str">
        <f t="shared" si="9"/>
        <v>075-RUSSIA</v>
      </c>
      <c r="AZ64" s="89" t="s">
        <v>1208</v>
      </c>
      <c r="BA64" s="89" t="s">
        <v>1209</v>
      </c>
      <c r="BB64" s="66" t="str">
        <f t="shared" si="12"/>
        <v>TNEK-Tonne of bioethanol content</v>
      </c>
    </row>
    <row r="65" spans="2:54" ht="15">
      <c r="B65" s="97" t="s">
        <v>837</v>
      </c>
      <c r="C65" s="97" t="s">
        <v>1210</v>
      </c>
      <c r="D65" s="75" t="str">
        <f t="shared" si="0"/>
        <v>BT-bolt</v>
      </c>
      <c r="F65" s="39" t="s">
        <v>1211</v>
      </c>
      <c r="G65" s="39" t="s">
        <v>1212</v>
      </c>
      <c r="H65" s="40" t="str">
        <f t="shared" si="1"/>
        <v>GEL-Lari</v>
      </c>
      <c r="J65" s="95"/>
      <c r="L65" s="95"/>
      <c r="N65" s="43" t="s">
        <v>1213</v>
      </c>
      <c r="O65" s="44" t="s">
        <v>1214</v>
      </c>
      <c r="P65" s="45" t="str">
        <f t="shared" si="3"/>
        <v>EC-Ecuador</v>
      </c>
      <c r="AE65" s="51"/>
      <c r="AF65" s="52" t="s">
        <v>1215</v>
      </c>
      <c r="AG65" s="52" t="s">
        <v>1215</v>
      </c>
      <c r="AH65" s="53" t="str">
        <f t="shared" si="5"/>
        <v>01091-01091</v>
      </c>
      <c r="AV65" s="61" t="s">
        <v>1216</v>
      </c>
      <c r="AW65" s="62" t="s">
        <v>1217</v>
      </c>
      <c r="AX65" s="63" t="str">
        <f t="shared" si="9"/>
        <v>076-GEORGIA</v>
      </c>
      <c r="AZ65" s="89" t="s">
        <v>1218</v>
      </c>
      <c r="BA65" s="89" t="s">
        <v>1219</v>
      </c>
      <c r="BB65" s="66" t="str">
        <f t="shared" si="12"/>
        <v>TNEM-Tonne net of dry matter</v>
      </c>
    </row>
    <row r="66" spans="2:54" ht="15">
      <c r="B66" s="97" t="s">
        <v>1220</v>
      </c>
      <c r="C66" s="97" t="s">
        <v>1221</v>
      </c>
      <c r="D66" s="75" t="str">
        <f t="shared" ref="D66:D93" si="15">CONCATENATE(B66,"-",C66)</f>
        <v>BU-Butt</v>
      </c>
      <c r="F66" s="39" t="s">
        <v>1222</v>
      </c>
      <c r="G66" s="39" t="s">
        <v>1223</v>
      </c>
      <c r="H66" s="40" t="str">
        <f t="shared" ref="H66:H129" si="16">CONCATENATE(F66,"-",G66)</f>
        <v>HTG-Haitian Gourde</v>
      </c>
      <c r="J66" s="95"/>
      <c r="L66" s="95"/>
      <c r="N66" s="43" t="s">
        <v>1224</v>
      </c>
      <c r="O66" s="44" t="s">
        <v>1225</v>
      </c>
      <c r="P66" s="45" t="str">
        <f t="shared" si="3"/>
        <v>EE-Estonian</v>
      </c>
      <c r="AE66" s="51"/>
      <c r="AF66" s="52" t="s">
        <v>1226</v>
      </c>
      <c r="AG66" s="52" t="s">
        <v>1226</v>
      </c>
      <c r="AH66" s="53" t="str">
        <f t="shared" ref="AH66:AH129" si="17">CONCATENATE(AF66,"-",AG66)</f>
        <v>01095-01095</v>
      </c>
      <c r="AV66" s="61" t="s">
        <v>1227</v>
      </c>
      <c r="AW66" s="62" t="s">
        <v>1228</v>
      </c>
      <c r="AX66" s="63" t="str">
        <f t="shared" si="9"/>
        <v>077-ARMENIA</v>
      </c>
      <c r="AZ66" s="89" t="s">
        <v>1229</v>
      </c>
      <c r="BA66" s="89" t="s">
        <v>1230</v>
      </c>
      <c r="BB66" s="66" t="str">
        <f t="shared" si="12"/>
        <v>TNER-Tonne of the standard quality</v>
      </c>
    </row>
    <row r="67" spans="2:54" ht="15">
      <c r="B67" s="97" t="s">
        <v>850</v>
      </c>
      <c r="C67" s="97" t="s">
        <v>1231</v>
      </c>
      <c r="D67" s="75" t="str">
        <f t="shared" si="15"/>
        <v>BV-Bottle, protected, bulbous</v>
      </c>
      <c r="F67" s="39" t="s">
        <v>1232</v>
      </c>
      <c r="G67" s="39" t="s">
        <v>1233</v>
      </c>
      <c r="H67" s="40" t="str">
        <f t="shared" si="16"/>
        <v>HRK-Croatian Kuna</v>
      </c>
      <c r="J67" s="95"/>
      <c r="L67" s="95"/>
      <c r="N67" s="43" t="s">
        <v>1234</v>
      </c>
      <c r="O67" s="44" t="s">
        <v>1235</v>
      </c>
      <c r="P67" s="45" t="str">
        <f t="shared" si="3"/>
        <v>EG-Egypt</v>
      </c>
      <c r="AE67" s="51"/>
      <c r="AF67" s="52" t="s">
        <v>1236</v>
      </c>
      <c r="AG67" s="52" t="s">
        <v>1236</v>
      </c>
      <c r="AH67" s="53" t="str">
        <f t="shared" si="17"/>
        <v>01101-01101</v>
      </c>
      <c r="AV67" s="61" t="s">
        <v>1237</v>
      </c>
      <c r="AW67" s="62" t="s">
        <v>1238</v>
      </c>
      <c r="AX67" s="63" t="str">
        <f t="shared" ref="AX67:AX130" si="18">CONCATENATE(AV67,"-",AW67)</f>
        <v>078-AZERBAIJAN</v>
      </c>
      <c r="AZ67" s="89" t="s">
        <v>1239</v>
      </c>
      <c r="BA67" s="89" t="s">
        <v>1240</v>
      </c>
      <c r="BB67" s="66" t="str">
        <f t="shared" si="12"/>
        <v>TNEZ-Tonne per 1% by weight of sucrose</v>
      </c>
    </row>
    <row r="68" spans="2:54" ht="15">
      <c r="B68" s="97" t="s">
        <v>866</v>
      </c>
      <c r="C68" s="97" t="s">
        <v>1241</v>
      </c>
      <c r="D68" s="75" t="str">
        <f t="shared" si="15"/>
        <v>BW-Box, for liquids</v>
      </c>
      <c r="F68" s="39" t="s">
        <v>1242</v>
      </c>
      <c r="G68" s="39" t="s">
        <v>1243</v>
      </c>
      <c r="H68" s="40" t="str">
        <f t="shared" si="16"/>
        <v>INR-Indian Rupee</v>
      </c>
      <c r="J68" s="95"/>
      <c r="L68" s="95"/>
      <c r="N68" s="43" t="s">
        <v>1244</v>
      </c>
      <c r="O68" s="44" t="s">
        <v>1245</v>
      </c>
      <c r="P68" s="45" t="str">
        <f t="shared" ref="P68:P132" si="19">CONCATENATE(N68,"-",O68)</f>
        <v>EH-Western Sahara</v>
      </c>
      <c r="AE68" s="51"/>
      <c r="AF68" s="52" t="s">
        <v>1246</v>
      </c>
      <c r="AG68" s="52" t="s">
        <v>1246</v>
      </c>
      <c r="AH68" s="53" t="str">
        <f t="shared" si="17"/>
        <v>01111-01111</v>
      </c>
      <c r="AV68" s="61" t="s">
        <v>1247</v>
      </c>
      <c r="AW68" s="62" t="s">
        <v>1248</v>
      </c>
      <c r="AX68" s="63" t="str">
        <f t="shared" si="18"/>
        <v>079-KAZAKHSTAN</v>
      </c>
      <c r="AZ68" s="98" t="s">
        <v>1249</v>
      </c>
      <c r="BA68" s="98" t="s">
        <v>1250</v>
      </c>
      <c r="BB68" s="99" t="str">
        <f t="shared" si="12"/>
        <v>WAT-Number of Watt</v>
      </c>
    </row>
    <row r="69" spans="2:54" ht="30">
      <c r="B69" s="97" t="s">
        <v>1251</v>
      </c>
      <c r="C69" s="97" t="s">
        <v>1252</v>
      </c>
      <c r="D69" s="75" t="str">
        <f t="shared" si="15"/>
        <v>BX-Box</v>
      </c>
      <c r="F69" s="39" t="s">
        <v>1253</v>
      </c>
      <c r="G69" s="39" t="s">
        <v>1254</v>
      </c>
      <c r="H69" s="40" t="str">
        <f t="shared" si="16"/>
        <v>ANG-Netherlands Antillian Guilder</v>
      </c>
      <c r="J69" s="95"/>
      <c r="L69" s="95"/>
      <c r="N69" s="43" t="s">
        <v>1255</v>
      </c>
      <c r="O69" s="44" t="s">
        <v>1256</v>
      </c>
      <c r="P69" s="45" t="str">
        <f t="shared" si="19"/>
        <v>ER-Eritrea</v>
      </c>
      <c r="AE69" s="51"/>
      <c r="AF69" s="52" t="s">
        <v>1257</v>
      </c>
      <c r="AG69" s="52" t="s">
        <v>1257</v>
      </c>
      <c r="AH69" s="53" t="str">
        <f t="shared" si="17"/>
        <v>01121-01121</v>
      </c>
      <c r="AV69" s="61" t="s">
        <v>1258</v>
      </c>
      <c r="AW69" s="62" t="s">
        <v>1259</v>
      </c>
      <c r="AX69" s="63" t="str">
        <f t="shared" si="18"/>
        <v>080-TURKMENISTAN</v>
      </c>
    </row>
    <row r="70" spans="2:54" ht="15">
      <c r="B70" s="97" t="s">
        <v>883</v>
      </c>
      <c r="C70" s="97" t="s">
        <v>1260</v>
      </c>
      <c r="D70" s="75" t="str">
        <f t="shared" si="15"/>
        <v>BY-Boards, in bundle/bunch/truss</v>
      </c>
      <c r="F70" s="39" t="s">
        <v>1261</v>
      </c>
      <c r="G70" s="39" t="s">
        <v>1262</v>
      </c>
      <c r="H70" s="40" t="str">
        <f t="shared" si="16"/>
        <v>HNL-Honduran Lempira</v>
      </c>
      <c r="J70" s="95"/>
      <c r="L70" s="95"/>
      <c r="N70" s="43" t="s">
        <v>1263</v>
      </c>
      <c r="O70" s="44" t="s">
        <v>1264</v>
      </c>
      <c r="P70" s="45" t="str">
        <f t="shared" si="19"/>
        <v>ES-Spanish</v>
      </c>
      <c r="AE70" s="51"/>
      <c r="AF70" s="52" t="s">
        <v>1265</v>
      </c>
      <c r="AG70" s="52" t="s">
        <v>1265</v>
      </c>
      <c r="AH70" s="53" t="str">
        <f t="shared" si="17"/>
        <v>01125-01125</v>
      </c>
      <c r="AV70" s="61" t="s">
        <v>1266</v>
      </c>
      <c r="AW70" s="62" t="s">
        <v>1267</v>
      </c>
      <c r="AX70" s="63" t="str">
        <f t="shared" si="18"/>
        <v>081-UZBEKISTAN</v>
      </c>
    </row>
    <row r="71" spans="2:54" ht="15">
      <c r="B71" s="97" t="s">
        <v>901</v>
      </c>
      <c r="C71" s="97" t="s">
        <v>1268</v>
      </c>
      <c r="D71" s="75" t="str">
        <f t="shared" si="15"/>
        <v>BZ-Bars, in bundle/bunch/truss</v>
      </c>
      <c r="F71" s="39" t="s">
        <v>1269</v>
      </c>
      <c r="G71" s="39" t="s">
        <v>1270</v>
      </c>
      <c r="H71" s="40" t="str">
        <f t="shared" si="16"/>
        <v>HKD-Hong Kong Dollar</v>
      </c>
      <c r="J71" s="95"/>
      <c r="L71" s="95"/>
      <c r="N71" s="43" t="s">
        <v>255</v>
      </c>
      <c r="O71" s="44" t="s">
        <v>1271</v>
      </c>
      <c r="P71" s="45" t="str">
        <f t="shared" si="19"/>
        <v>ET-Ethiopia</v>
      </c>
      <c r="AE71" s="51"/>
      <c r="AF71" s="52" t="s">
        <v>1272</v>
      </c>
      <c r="AG71" s="52" t="s">
        <v>1272</v>
      </c>
      <c r="AH71" s="53" t="str">
        <f t="shared" si="17"/>
        <v>01131-01131</v>
      </c>
      <c r="AV71" s="61" t="s">
        <v>1273</v>
      </c>
      <c r="AW71" s="62" t="s">
        <v>1274</v>
      </c>
      <c r="AX71" s="63" t="str">
        <f t="shared" si="18"/>
        <v>082-TAJİKİSTAN</v>
      </c>
    </row>
    <row r="72" spans="2:54" ht="15">
      <c r="B72" s="97" t="s">
        <v>915</v>
      </c>
      <c r="C72" s="97" t="s">
        <v>1275</v>
      </c>
      <c r="D72" s="75" t="str">
        <f t="shared" si="15"/>
        <v>CA-Can, rectangular</v>
      </c>
      <c r="F72" s="39" t="s">
        <v>1276</v>
      </c>
      <c r="G72" s="39" t="s">
        <v>1277</v>
      </c>
      <c r="H72" s="40" t="str">
        <f t="shared" si="16"/>
        <v>IQD-Iraqi Dinar</v>
      </c>
      <c r="J72" s="95"/>
      <c r="L72" s="95"/>
      <c r="N72" s="90" t="s">
        <v>1278</v>
      </c>
      <c r="O72" s="90" t="s">
        <v>1279</v>
      </c>
      <c r="P72" s="90" t="str">
        <f t="shared" si="19"/>
        <v>EU-European Union</v>
      </c>
      <c r="AE72" s="51"/>
      <c r="AF72" s="52" t="s">
        <v>1280</v>
      </c>
      <c r="AG72" s="52" t="s">
        <v>1280</v>
      </c>
      <c r="AH72" s="53" t="str">
        <f t="shared" si="17"/>
        <v>01143-01143</v>
      </c>
      <c r="AV72" s="61" t="s">
        <v>1281</v>
      </c>
      <c r="AW72" s="62" t="s">
        <v>1282</v>
      </c>
      <c r="AX72" s="63" t="str">
        <f t="shared" si="18"/>
        <v>083-KYRGYZSTAN</v>
      </c>
    </row>
    <row r="73" spans="2:54" ht="15">
      <c r="B73" s="97" t="s">
        <v>1283</v>
      </c>
      <c r="C73" s="97" t="s">
        <v>1284</v>
      </c>
      <c r="D73" s="75" t="str">
        <f t="shared" si="15"/>
        <v>CB-Beer crate</v>
      </c>
      <c r="F73" s="39" t="s">
        <v>1285</v>
      </c>
      <c r="G73" s="39" t="s">
        <v>1286</v>
      </c>
      <c r="H73" s="40" t="str">
        <f t="shared" si="16"/>
        <v>GBP-Pound Sterling</v>
      </c>
      <c r="J73" s="95"/>
      <c r="L73" s="95"/>
      <c r="N73" s="43" t="s">
        <v>1287</v>
      </c>
      <c r="O73" s="44" t="s">
        <v>1288</v>
      </c>
      <c r="P73" s="45" t="str">
        <f t="shared" si="19"/>
        <v>FI-Finnish</v>
      </c>
      <c r="AE73" s="51"/>
      <c r="AF73" s="52" t="s">
        <v>1289</v>
      </c>
      <c r="AG73" s="52" t="s">
        <v>1289</v>
      </c>
      <c r="AH73" s="53" t="str">
        <f t="shared" si="17"/>
        <v>01151-01151</v>
      </c>
      <c r="AV73" s="61" t="s">
        <v>1290</v>
      </c>
      <c r="AW73" s="62" t="s">
        <v>1291</v>
      </c>
      <c r="AX73" s="63" t="str">
        <f t="shared" si="18"/>
        <v>087-YAKUTISTAN</v>
      </c>
    </row>
    <row r="74" spans="2:54" ht="15">
      <c r="B74" s="97" t="s">
        <v>929</v>
      </c>
      <c r="C74" s="97" t="s">
        <v>1292</v>
      </c>
      <c r="D74" s="75" t="str">
        <f t="shared" si="15"/>
        <v>CC-Churn</v>
      </c>
      <c r="F74" s="39" t="s">
        <v>1293</v>
      </c>
      <c r="G74" s="39" t="s">
        <v>1294</v>
      </c>
      <c r="H74" s="40" t="str">
        <f t="shared" si="16"/>
        <v>IRR-Iranian Rial</v>
      </c>
      <c r="J74" s="95"/>
      <c r="L74" s="95"/>
      <c r="N74" s="43" t="s">
        <v>1295</v>
      </c>
      <c r="O74" s="44" t="s">
        <v>1296</v>
      </c>
      <c r="P74" s="45" t="str">
        <f t="shared" si="19"/>
        <v>FJ-Fiji</v>
      </c>
      <c r="AE74" s="51"/>
      <c r="AF74" s="52" t="s">
        <v>1297</v>
      </c>
      <c r="AG74" s="52" t="s">
        <v>1297</v>
      </c>
      <c r="AH74" s="53" t="str">
        <f t="shared" si="17"/>
        <v>01152-01152</v>
      </c>
      <c r="AV74" s="61" t="s">
        <v>1298</v>
      </c>
      <c r="AW74" s="62" t="s">
        <v>1299</v>
      </c>
      <c r="AX74" s="63" t="str">
        <f t="shared" si="18"/>
        <v>091-SLOVENIA</v>
      </c>
    </row>
    <row r="75" spans="2:54" ht="15">
      <c r="B75" s="97" t="s">
        <v>945</v>
      </c>
      <c r="C75" s="97" t="s">
        <v>1300</v>
      </c>
      <c r="D75" s="75" t="str">
        <f t="shared" si="15"/>
        <v>CD-Can, with handle and spout</v>
      </c>
      <c r="F75" s="39" t="s">
        <v>1301</v>
      </c>
      <c r="G75" s="39" t="s">
        <v>1302</v>
      </c>
      <c r="H75" s="40" t="str">
        <f t="shared" si="16"/>
        <v>ILS-Israeli New Shekel</v>
      </c>
      <c r="J75" s="95"/>
      <c r="L75" s="95"/>
      <c r="N75" s="43" t="s">
        <v>1303</v>
      </c>
      <c r="O75" s="44" t="s">
        <v>1304</v>
      </c>
      <c r="P75" s="45" t="str">
        <f t="shared" si="19"/>
        <v>FK-Falkland Islands (Malvinas)</v>
      </c>
      <c r="AE75" s="51"/>
      <c r="AF75" s="52" t="s">
        <v>1305</v>
      </c>
      <c r="AG75" s="52" t="s">
        <v>1305</v>
      </c>
      <c r="AH75" s="53" t="str">
        <f t="shared" si="17"/>
        <v>01153-01153</v>
      </c>
      <c r="AV75" s="61" t="s">
        <v>1306</v>
      </c>
      <c r="AW75" s="62" t="s">
        <v>1307</v>
      </c>
      <c r="AX75" s="63" t="str">
        <f t="shared" si="18"/>
        <v>092-CROATIA</v>
      </c>
    </row>
    <row r="76" spans="2:54" ht="26.25">
      <c r="B76" s="97" t="s">
        <v>1308</v>
      </c>
      <c r="C76" s="97" t="s">
        <v>1309</v>
      </c>
      <c r="D76" s="75" t="str">
        <f t="shared" si="15"/>
        <v>CE-Creel</v>
      </c>
      <c r="F76" s="39" t="s">
        <v>1310</v>
      </c>
      <c r="G76" s="39" t="s">
        <v>1311</v>
      </c>
      <c r="H76" s="40" t="str">
        <f t="shared" si="16"/>
        <v>SEK-Swedish Krona</v>
      </c>
      <c r="J76" s="95"/>
      <c r="L76" s="95"/>
      <c r="N76" s="43" t="s">
        <v>1312</v>
      </c>
      <c r="O76" s="44" t="s">
        <v>1313</v>
      </c>
      <c r="P76" s="45" t="str">
        <f t="shared" si="19"/>
        <v>FM-Micronesia</v>
      </c>
      <c r="AE76" s="51"/>
      <c r="AF76" s="52" t="s">
        <v>1314</v>
      </c>
      <c r="AG76" s="52" t="s">
        <v>1314</v>
      </c>
      <c r="AH76" s="53" t="str">
        <f t="shared" si="17"/>
        <v>01154-01154</v>
      </c>
      <c r="AV76" s="61" t="s">
        <v>1315</v>
      </c>
      <c r="AW76" s="62" t="s">
        <v>1316</v>
      </c>
      <c r="AX76" s="63" t="str">
        <f t="shared" si="18"/>
        <v>093-BOSNIA AND HERZEGOVINA</v>
      </c>
    </row>
    <row r="77" spans="2:54" ht="15">
      <c r="B77" s="97" t="s">
        <v>960</v>
      </c>
      <c r="C77" s="97" t="s">
        <v>1317</v>
      </c>
      <c r="D77" s="75" t="str">
        <f t="shared" si="15"/>
        <v>CF-Coffer</v>
      </c>
      <c r="F77" s="39" t="s">
        <v>1318</v>
      </c>
      <c r="G77" s="39" t="s">
        <v>1319</v>
      </c>
      <c r="H77" s="40" t="str">
        <f t="shared" si="16"/>
        <v>CHF-Swiss Franc</v>
      </c>
      <c r="J77" s="95"/>
      <c r="L77" s="95"/>
      <c r="N77" s="43" t="s">
        <v>1320</v>
      </c>
      <c r="O77" s="44" t="s">
        <v>1321</v>
      </c>
      <c r="P77" s="45" t="str">
        <f t="shared" si="19"/>
        <v>FO-Faroe Is</v>
      </c>
      <c r="AE77" s="51"/>
      <c r="AF77" s="52" t="s">
        <v>1322</v>
      </c>
      <c r="AG77" s="52" t="s">
        <v>1322</v>
      </c>
      <c r="AH77" s="53" t="str">
        <f t="shared" si="17"/>
        <v>01161-01161</v>
      </c>
      <c r="AV77" s="61" t="s">
        <v>1323</v>
      </c>
      <c r="AW77" s="62" t="s">
        <v>1324</v>
      </c>
      <c r="AX77" s="63" t="str">
        <f t="shared" si="18"/>
        <v>095-KOSOVO</v>
      </c>
    </row>
    <row r="78" spans="2:54" ht="15">
      <c r="B78" s="97" t="s">
        <v>974</v>
      </c>
      <c r="C78" s="97" t="s">
        <v>1325</v>
      </c>
      <c r="D78" s="75" t="str">
        <f t="shared" si="15"/>
        <v>CG-Cage</v>
      </c>
      <c r="F78" s="39" t="s">
        <v>1326</v>
      </c>
      <c r="G78" s="39" t="s">
        <v>1327</v>
      </c>
      <c r="H78" s="40" t="str">
        <f t="shared" si="16"/>
        <v>ISK-Iceland Krona</v>
      </c>
      <c r="J78" s="95"/>
      <c r="L78" s="95"/>
      <c r="N78" s="43" t="s">
        <v>1328</v>
      </c>
      <c r="O78" s="44" t="s">
        <v>1329</v>
      </c>
      <c r="P78" s="45" t="str">
        <f t="shared" si="19"/>
        <v>FR-French</v>
      </c>
      <c r="AE78" s="51"/>
      <c r="AF78" s="52" t="s">
        <v>1330</v>
      </c>
      <c r="AG78" s="52" t="s">
        <v>1330</v>
      </c>
      <c r="AH78" s="53" t="str">
        <f t="shared" si="17"/>
        <v>01162-01162</v>
      </c>
      <c r="AV78" s="61" t="s">
        <v>1331</v>
      </c>
      <c r="AW78" s="62" t="s">
        <v>1332</v>
      </c>
      <c r="AX78" s="63" t="str">
        <f t="shared" si="18"/>
        <v xml:space="preserve">096-MACEDONIA </v>
      </c>
    </row>
    <row r="79" spans="2:54" ht="15">
      <c r="B79" s="97" t="s">
        <v>988</v>
      </c>
      <c r="C79" s="97" t="s">
        <v>1333</v>
      </c>
      <c r="D79" s="75" t="str">
        <f t="shared" si="15"/>
        <v>CH-Chest</v>
      </c>
      <c r="F79" s="39" t="s">
        <v>1334</v>
      </c>
      <c r="G79" s="39" t="s">
        <v>1335</v>
      </c>
      <c r="H79" s="40" t="str">
        <f t="shared" si="16"/>
        <v>JMD-Jamaican Dollar</v>
      </c>
      <c r="J79" s="95"/>
      <c r="L79" s="95"/>
      <c r="N79" s="43" t="s">
        <v>1336</v>
      </c>
      <c r="O79" s="44" t="s">
        <v>1337</v>
      </c>
      <c r="P79" s="45" t="str">
        <f t="shared" si="19"/>
        <v>GA-Gabon</v>
      </c>
      <c r="AE79" s="51"/>
      <c r="AF79" s="52" t="s">
        <v>1338</v>
      </c>
      <c r="AG79" s="52" t="s">
        <v>1338</v>
      </c>
      <c r="AH79" s="53" t="str">
        <f t="shared" si="17"/>
        <v>01163-01163</v>
      </c>
      <c r="AV79" s="61" t="s">
        <v>1339</v>
      </c>
      <c r="AW79" s="62" t="s">
        <v>1340</v>
      </c>
      <c r="AX79" s="63" t="str">
        <f t="shared" si="18"/>
        <v>097-MONTENEGRO</v>
      </c>
    </row>
    <row r="80" spans="2:54" ht="15">
      <c r="B80" s="97" t="s">
        <v>1001</v>
      </c>
      <c r="C80" s="97" t="s">
        <v>1341</v>
      </c>
      <c r="D80" s="75" t="str">
        <f t="shared" si="15"/>
        <v>CI-Canister</v>
      </c>
      <c r="F80" s="39" t="s">
        <v>1342</v>
      </c>
      <c r="G80" s="39" t="s">
        <v>1343</v>
      </c>
      <c r="H80" s="40" t="str">
        <f t="shared" si="16"/>
        <v>JPY-Japanese Yen</v>
      </c>
      <c r="J80" s="95"/>
      <c r="L80" s="95"/>
      <c r="N80" s="43" t="s">
        <v>1344</v>
      </c>
      <c r="O80" s="44" t="s">
        <v>1345</v>
      </c>
      <c r="P80" s="45" t="str">
        <f t="shared" si="19"/>
        <v>GB-British</v>
      </c>
      <c r="AE80" s="51"/>
      <c r="AF80" s="52" t="s">
        <v>1346</v>
      </c>
      <c r="AG80" s="52" t="s">
        <v>1346</v>
      </c>
      <c r="AH80" s="53" t="str">
        <f t="shared" si="17"/>
        <v>01171-01171</v>
      </c>
      <c r="AV80" s="61" t="s">
        <v>1347</v>
      </c>
      <c r="AW80" s="62" t="s">
        <v>1348</v>
      </c>
      <c r="AX80" s="63" t="str">
        <f t="shared" si="18"/>
        <v>098-SERBIS</v>
      </c>
    </row>
    <row r="81" spans="2:50" ht="30">
      <c r="B81" s="97" t="s">
        <v>1349</v>
      </c>
      <c r="C81" s="97" t="s">
        <v>1350</v>
      </c>
      <c r="D81" s="75" t="str">
        <f t="shared" si="15"/>
        <v>CJ-Coffin</v>
      </c>
      <c r="F81" s="39" t="s">
        <v>1351</v>
      </c>
      <c r="G81" s="39" t="s">
        <v>1352</v>
      </c>
      <c r="H81" s="40" t="str">
        <f t="shared" si="16"/>
        <v>KHR-Kampuchean (Cambodian) Riel</v>
      </c>
      <c r="J81" s="95"/>
      <c r="L81" s="95"/>
      <c r="N81" s="43" t="s">
        <v>1353</v>
      </c>
      <c r="O81" s="44" t="s">
        <v>1354</v>
      </c>
      <c r="P81" s="45" t="str">
        <f t="shared" si="19"/>
        <v>GD-Grenada</v>
      </c>
      <c r="AE81" s="51"/>
      <c r="AF81" s="52" t="s">
        <v>1355</v>
      </c>
      <c r="AG81" s="52" t="s">
        <v>1355</v>
      </c>
      <c r="AH81" s="53" t="str">
        <f t="shared" si="17"/>
        <v>01181-01181</v>
      </c>
      <c r="AV81" s="100" t="s">
        <v>1356</v>
      </c>
      <c r="AW81" s="62" t="s">
        <v>1357</v>
      </c>
      <c r="AX81" s="63" t="str">
        <f t="shared" si="18"/>
        <v>204-MOROCCO</v>
      </c>
    </row>
    <row r="82" spans="2:50" ht="15">
      <c r="B82" s="97" t="s">
        <v>1013</v>
      </c>
      <c r="C82" s="97" t="s">
        <v>1358</v>
      </c>
      <c r="D82" s="75" t="str">
        <f t="shared" si="15"/>
        <v>CK-Cask</v>
      </c>
      <c r="F82" s="39" t="s">
        <v>834</v>
      </c>
      <c r="G82" s="39" t="s">
        <v>1359</v>
      </c>
      <c r="H82" s="40" t="str">
        <f t="shared" si="16"/>
        <v>XAF-Cameroon, CFA Franc BEAC</v>
      </c>
      <c r="J82" s="95"/>
      <c r="L82" s="95"/>
      <c r="N82" s="43" t="s">
        <v>1360</v>
      </c>
      <c r="O82" s="44" t="s">
        <v>1361</v>
      </c>
      <c r="P82" s="45" t="str">
        <f t="shared" si="19"/>
        <v>GE-Georgia</v>
      </c>
      <c r="AE82" s="51"/>
      <c r="AF82" s="52" t="s">
        <v>1362</v>
      </c>
      <c r="AG82" s="52" t="s">
        <v>1362</v>
      </c>
      <c r="AH82" s="53" t="str">
        <f t="shared" si="17"/>
        <v>01191-01191</v>
      </c>
      <c r="AV82" s="100" t="s">
        <v>1363</v>
      </c>
      <c r="AW82" s="62" t="s">
        <v>1364</v>
      </c>
      <c r="AX82" s="63" t="str">
        <f t="shared" si="18"/>
        <v>208-ALGERIA</v>
      </c>
    </row>
    <row r="83" spans="2:50" ht="15">
      <c r="B83" s="97" t="s">
        <v>1027</v>
      </c>
      <c r="C83" s="97" t="s">
        <v>1365</v>
      </c>
      <c r="D83" s="75" t="str">
        <f t="shared" si="15"/>
        <v>CL-Coil</v>
      </c>
      <c r="F83" s="39" t="s">
        <v>1366</v>
      </c>
      <c r="G83" s="39" t="s">
        <v>1367</v>
      </c>
      <c r="H83" s="40" t="str">
        <f t="shared" si="16"/>
        <v>CAD-Canadian Dollar</v>
      </c>
      <c r="J83" s="95"/>
      <c r="L83" s="95"/>
      <c r="N83" s="43" t="s">
        <v>1368</v>
      </c>
      <c r="O83" s="44" t="s">
        <v>1369</v>
      </c>
      <c r="P83" s="45" t="str">
        <f t="shared" si="19"/>
        <v>GF-French Guiana</v>
      </c>
      <c r="AE83" s="51"/>
      <c r="AF83" s="52" t="s">
        <v>1370</v>
      </c>
      <c r="AG83" s="52" t="s">
        <v>1370</v>
      </c>
      <c r="AH83" s="53" t="str">
        <f t="shared" si="17"/>
        <v>01194-01194</v>
      </c>
      <c r="AV83" s="100" t="s">
        <v>1371</v>
      </c>
      <c r="AW83" s="62" t="s">
        <v>1372</v>
      </c>
      <c r="AX83" s="63" t="str">
        <f t="shared" si="18"/>
        <v>212-TUNIS</v>
      </c>
    </row>
    <row r="84" spans="2:50" ht="15">
      <c r="B84" s="97" t="s">
        <v>1040</v>
      </c>
      <c r="C84" s="97" t="s">
        <v>1373</v>
      </c>
      <c r="D84" s="75" t="str">
        <f t="shared" si="15"/>
        <v>CM-Card</v>
      </c>
      <c r="F84" s="39" t="s">
        <v>1374</v>
      </c>
      <c r="G84" s="39" t="s">
        <v>1375</v>
      </c>
      <c r="H84" s="40" t="str">
        <f t="shared" si="16"/>
        <v>QAR-Qatari Rial</v>
      </c>
      <c r="J84" s="95"/>
      <c r="L84" s="95"/>
      <c r="N84" s="43" t="s">
        <v>1376</v>
      </c>
      <c r="O84" s="44" t="s">
        <v>1377</v>
      </c>
      <c r="P84" s="45" t="str">
        <f t="shared" si="19"/>
        <v>GG-Guernsey</v>
      </c>
      <c r="AE84" s="51"/>
      <c r="AF84" s="52" t="s">
        <v>1378</v>
      </c>
      <c r="AG84" s="52" t="s">
        <v>1378</v>
      </c>
      <c r="AH84" s="53" t="str">
        <f t="shared" si="17"/>
        <v>01202-01202</v>
      </c>
      <c r="AV84" s="100" t="s">
        <v>1379</v>
      </c>
      <c r="AW84" s="62" t="s">
        <v>1380</v>
      </c>
      <c r="AX84" s="63" t="str">
        <f t="shared" si="18"/>
        <v>216-LIBYA</v>
      </c>
    </row>
    <row r="85" spans="2:50" ht="30">
      <c r="B85" s="97" t="s">
        <v>1053</v>
      </c>
      <c r="C85" s="97" t="s">
        <v>1381</v>
      </c>
      <c r="D85" s="75" t="str">
        <f t="shared" si="15"/>
        <v>CN-Container, not otherwise specified as transport equipment</v>
      </c>
      <c r="F85" s="39" t="s">
        <v>1382</v>
      </c>
      <c r="G85" s="39" t="s">
        <v>1383</v>
      </c>
      <c r="H85" s="40" t="str">
        <f t="shared" si="16"/>
        <v>KYD-Cayman Islands Dollar</v>
      </c>
      <c r="J85" s="95"/>
      <c r="L85" s="95"/>
      <c r="N85" s="43" t="s">
        <v>1384</v>
      </c>
      <c r="O85" s="44" t="s">
        <v>1385</v>
      </c>
      <c r="P85" s="45" t="str">
        <f t="shared" si="19"/>
        <v>GH-Ghana</v>
      </c>
      <c r="AE85" s="51"/>
      <c r="AF85" s="52" t="s">
        <v>1386</v>
      </c>
      <c r="AG85" s="52" t="s">
        <v>1386</v>
      </c>
      <c r="AH85" s="53" t="str">
        <f t="shared" si="17"/>
        <v>01203-01203</v>
      </c>
      <c r="AV85" s="100" t="s">
        <v>1387</v>
      </c>
      <c r="AW85" s="62" t="s">
        <v>1388</v>
      </c>
      <c r="AX85" s="63" t="str">
        <f t="shared" si="18"/>
        <v>220-EGYPT</v>
      </c>
    </row>
    <row r="86" spans="2:50" ht="15">
      <c r="B86" s="97" t="s">
        <v>1065</v>
      </c>
      <c r="C86" s="97" t="s">
        <v>1389</v>
      </c>
      <c r="D86" s="75" t="str">
        <f t="shared" si="15"/>
        <v>CO-Carboy, non-protected</v>
      </c>
      <c r="F86" s="39" t="s">
        <v>1390</v>
      </c>
      <c r="G86" s="39" t="s">
        <v>1391</v>
      </c>
      <c r="H86" s="40" t="str">
        <f t="shared" si="16"/>
        <v>KZT-Kazakhstan Tenge</v>
      </c>
      <c r="J86" s="95"/>
      <c r="L86" s="95"/>
      <c r="N86" s="43" t="s">
        <v>1392</v>
      </c>
      <c r="O86" s="44" t="s">
        <v>1393</v>
      </c>
      <c r="P86" s="45" t="str">
        <f t="shared" si="19"/>
        <v>GI-Gibraltar</v>
      </c>
      <c r="AE86" s="51"/>
      <c r="AF86" s="52" t="s">
        <v>1394</v>
      </c>
      <c r="AG86" s="52" t="s">
        <v>1394</v>
      </c>
      <c r="AH86" s="53" t="str">
        <f t="shared" si="17"/>
        <v>01204-01204</v>
      </c>
      <c r="AV86" s="100" t="s">
        <v>1395</v>
      </c>
      <c r="AW86" s="62" t="s">
        <v>1396</v>
      </c>
      <c r="AX86" s="63" t="str">
        <f t="shared" si="18"/>
        <v>224-SUDAN</v>
      </c>
    </row>
    <row r="87" spans="2:50" ht="15">
      <c r="B87" s="97" t="s">
        <v>1397</v>
      </c>
      <c r="C87" s="97" t="s">
        <v>1398</v>
      </c>
      <c r="D87" s="75" t="str">
        <f t="shared" si="15"/>
        <v>CP-Carboy, protected</v>
      </c>
      <c r="F87" s="39" t="s">
        <v>1399</v>
      </c>
      <c r="G87" s="39" t="s">
        <v>1400</v>
      </c>
      <c r="H87" s="40" t="str">
        <f t="shared" si="16"/>
        <v>KES-Kenyan Schilling</v>
      </c>
      <c r="J87" s="95"/>
      <c r="L87" s="95"/>
      <c r="N87" s="43" t="s">
        <v>1401</v>
      </c>
      <c r="O87" s="44" t="s">
        <v>1402</v>
      </c>
      <c r="P87" s="45" t="str">
        <f t="shared" si="19"/>
        <v>GL-Greenland</v>
      </c>
      <c r="AE87" s="51"/>
      <c r="AF87" s="52" t="s">
        <v>1403</v>
      </c>
      <c r="AG87" s="52" t="s">
        <v>1403</v>
      </c>
      <c r="AH87" s="53" t="str">
        <f t="shared" si="17"/>
        <v>01205-01205</v>
      </c>
      <c r="AV87" s="100" t="s">
        <v>1404</v>
      </c>
      <c r="AW87" s="62" t="s">
        <v>1405</v>
      </c>
      <c r="AX87" s="63" t="str">
        <f t="shared" si="18"/>
        <v>225-SOUTH SUDAN</v>
      </c>
    </row>
    <row r="88" spans="2:50" ht="15">
      <c r="B88" s="97" t="s">
        <v>1406</v>
      </c>
      <c r="C88" s="97" t="s">
        <v>1407</v>
      </c>
      <c r="D88" s="75" t="str">
        <f t="shared" si="15"/>
        <v>CQ-Cartridge</v>
      </c>
      <c r="F88" s="39" t="s">
        <v>1408</v>
      </c>
      <c r="G88" s="39" t="s">
        <v>1409</v>
      </c>
      <c r="H88" s="40" t="str">
        <f t="shared" si="16"/>
        <v>KGS-Som</v>
      </c>
      <c r="J88" s="95"/>
      <c r="L88" s="95"/>
      <c r="N88" s="43" t="s">
        <v>1410</v>
      </c>
      <c r="O88" s="44" t="s">
        <v>1411</v>
      </c>
      <c r="P88" s="45" t="str">
        <f t="shared" si="19"/>
        <v>GM-Gambia</v>
      </c>
      <c r="AE88" s="51"/>
      <c r="AF88" s="52" t="s">
        <v>1412</v>
      </c>
      <c r="AG88" s="52" t="s">
        <v>1412</v>
      </c>
      <c r="AH88" s="53" t="str">
        <f t="shared" si="17"/>
        <v>01209-01209</v>
      </c>
      <c r="AV88" s="100" t="s">
        <v>1413</v>
      </c>
      <c r="AW88" s="62" t="s">
        <v>1414</v>
      </c>
      <c r="AX88" s="63" t="str">
        <f t="shared" si="18"/>
        <v>228-MORITANIA</v>
      </c>
    </row>
    <row r="89" spans="2:50" ht="15">
      <c r="B89" s="97" t="s">
        <v>1076</v>
      </c>
      <c r="C89" s="97" t="s">
        <v>1415</v>
      </c>
      <c r="D89" s="75" t="str">
        <f t="shared" si="15"/>
        <v>CR-Crate</v>
      </c>
      <c r="F89" s="39" t="s">
        <v>1416</v>
      </c>
      <c r="G89" s="39" t="s">
        <v>1417</v>
      </c>
      <c r="H89" s="40" t="str">
        <f t="shared" si="16"/>
        <v>COP-Colombian Peso</v>
      </c>
      <c r="J89" s="95"/>
      <c r="L89" s="95"/>
      <c r="N89" s="43" t="s">
        <v>1418</v>
      </c>
      <c r="O89" s="44" t="s">
        <v>1419</v>
      </c>
      <c r="P89" s="45" t="str">
        <f t="shared" si="19"/>
        <v>GN-Guinea</v>
      </c>
      <c r="AE89" s="51"/>
      <c r="AF89" s="52" t="s">
        <v>1420</v>
      </c>
      <c r="AG89" s="52" t="s">
        <v>1420</v>
      </c>
      <c r="AH89" s="53" t="str">
        <f t="shared" si="17"/>
        <v>01210-01210</v>
      </c>
      <c r="AV89" s="100" t="s">
        <v>1421</v>
      </c>
      <c r="AW89" s="62" t="s">
        <v>1422</v>
      </c>
      <c r="AX89" s="63" t="str">
        <f t="shared" si="18"/>
        <v>232-MALI</v>
      </c>
    </row>
    <row r="90" spans="2:50" ht="15">
      <c r="B90" s="97" t="s">
        <v>1423</v>
      </c>
      <c r="C90" s="97" t="s">
        <v>1424</v>
      </c>
      <c r="D90" s="75" t="str">
        <f t="shared" si="15"/>
        <v>CS-Case</v>
      </c>
      <c r="F90" s="39" t="s">
        <v>1425</v>
      </c>
      <c r="G90" s="39" t="s">
        <v>1426</v>
      </c>
      <c r="H90" s="40" t="str">
        <f t="shared" si="16"/>
        <v>KMF-Comoros Franc</v>
      </c>
      <c r="J90" s="95"/>
      <c r="L90" s="95"/>
      <c r="N90" s="43" t="s">
        <v>1427</v>
      </c>
      <c r="O90" s="44" t="s">
        <v>1428</v>
      </c>
      <c r="P90" s="45" t="str">
        <f t="shared" si="19"/>
        <v>GP-Guadeloupe</v>
      </c>
      <c r="AE90" s="51"/>
      <c r="AF90" s="52" t="s">
        <v>1429</v>
      </c>
      <c r="AG90" s="52" t="s">
        <v>1429</v>
      </c>
      <c r="AH90" s="53" t="str">
        <f t="shared" si="17"/>
        <v>01211-01211</v>
      </c>
      <c r="AV90" s="100" t="s">
        <v>1430</v>
      </c>
      <c r="AW90" s="62" t="s">
        <v>1431</v>
      </c>
      <c r="AX90" s="63" t="str">
        <f t="shared" si="18"/>
        <v>236-BURKINA FASO</v>
      </c>
    </row>
    <row r="91" spans="2:50" ht="15">
      <c r="B91" s="97" t="s">
        <v>1432</v>
      </c>
      <c r="C91" s="97" t="s">
        <v>1433</v>
      </c>
      <c r="D91" s="75" t="str">
        <f t="shared" si="15"/>
        <v>CT-Carton</v>
      </c>
      <c r="F91" s="39" t="s">
        <v>1434</v>
      </c>
      <c r="G91" s="39" t="s">
        <v>1435</v>
      </c>
      <c r="H91" s="40" t="str">
        <f t="shared" si="16"/>
        <v xml:space="preserve">CDF-Franc Congolais </v>
      </c>
      <c r="J91" s="95"/>
      <c r="L91" s="95"/>
      <c r="N91" s="43" t="s">
        <v>1436</v>
      </c>
      <c r="O91" s="44" t="s">
        <v>1437</v>
      </c>
      <c r="P91" s="45" t="str">
        <f t="shared" si="19"/>
        <v>GQ-Equatorial Guinea</v>
      </c>
      <c r="AE91" s="51"/>
      <c r="AF91" s="52" t="s">
        <v>1438</v>
      </c>
      <c r="AG91" s="52" t="s">
        <v>1438</v>
      </c>
      <c r="AH91" s="53" t="str">
        <f t="shared" si="17"/>
        <v>01221-01221</v>
      </c>
      <c r="AV91" s="100" t="s">
        <v>1439</v>
      </c>
      <c r="AW91" s="62" t="s">
        <v>1440</v>
      </c>
      <c r="AX91" s="63" t="str">
        <f t="shared" si="18"/>
        <v>240-NIGER</v>
      </c>
    </row>
    <row r="92" spans="2:50" ht="15">
      <c r="B92" s="97" t="s">
        <v>1087</v>
      </c>
      <c r="C92" s="97" t="s">
        <v>1441</v>
      </c>
      <c r="D92" s="75" t="str">
        <f t="shared" si="15"/>
        <v>CU-Cup</v>
      </c>
      <c r="F92" s="39" t="s">
        <v>834</v>
      </c>
      <c r="G92" s="39" t="s">
        <v>1442</v>
      </c>
      <c r="H92" s="40" t="str">
        <f t="shared" si="16"/>
        <v>XAF-Congo, CFA Franc BEAC</v>
      </c>
      <c r="J92" s="95"/>
      <c r="L92" s="95"/>
      <c r="N92" s="43" t="s">
        <v>1443</v>
      </c>
      <c r="O92" s="44" t="s">
        <v>1444</v>
      </c>
      <c r="P92" s="45" t="str">
        <f t="shared" si="19"/>
        <v>GR-Greek</v>
      </c>
      <c r="AE92" s="51"/>
      <c r="AF92" s="52" t="s">
        <v>1445</v>
      </c>
      <c r="AG92" s="52" t="s">
        <v>1445</v>
      </c>
      <c r="AH92" s="53" t="str">
        <f t="shared" si="17"/>
        <v>01225-01225</v>
      </c>
      <c r="AV92" s="100" t="s">
        <v>1446</v>
      </c>
      <c r="AW92" s="62" t="s">
        <v>1447</v>
      </c>
      <c r="AX92" s="63" t="str">
        <f t="shared" si="18"/>
        <v>244-CHAD</v>
      </c>
    </row>
    <row r="93" spans="2:50" ht="15">
      <c r="B93" s="97" t="s">
        <v>1097</v>
      </c>
      <c r="C93" s="97" t="s">
        <v>1448</v>
      </c>
      <c r="D93" s="75" t="str">
        <f t="shared" si="15"/>
        <v>CV-Cover</v>
      </c>
      <c r="F93" s="39" t="s">
        <v>1449</v>
      </c>
      <c r="G93" s="39" t="s">
        <v>1450</v>
      </c>
      <c r="H93" s="40" t="str">
        <f t="shared" si="16"/>
        <v>KRW-Won</v>
      </c>
      <c r="J93" s="95"/>
      <c r="L93" s="95"/>
      <c r="N93" s="43" t="s">
        <v>1451</v>
      </c>
      <c r="O93" s="44" t="s">
        <v>1452</v>
      </c>
      <c r="P93" s="45" t="str">
        <f t="shared" si="19"/>
        <v>GS-S Georgia S Sandwich Is</v>
      </c>
      <c r="AE93" s="51"/>
      <c r="AF93" s="52" t="s">
        <v>1453</v>
      </c>
      <c r="AG93" s="52" t="s">
        <v>1453</v>
      </c>
      <c r="AH93" s="53" t="str">
        <f t="shared" si="17"/>
        <v>01241-01241</v>
      </c>
      <c r="AV93" s="100" t="s">
        <v>1454</v>
      </c>
      <c r="AW93" s="62" t="s">
        <v>1455</v>
      </c>
      <c r="AX93" s="63" t="str">
        <f t="shared" si="18"/>
        <v>247-CAPE VERDE</v>
      </c>
    </row>
    <row r="94" spans="2:50" ht="15">
      <c r="B94" s="97" t="s">
        <v>1108</v>
      </c>
      <c r="C94" s="97" t="s">
        <v>1456</v>
      </c>
      <c r="D94" s="75" t="s">
        <v>1457</v>
      </c>
      <c r="F94" s="39" t="s">
        <v>1458</v>
      </c>
      <c r="G94" s="39" t="s">
        <v>1459</v>
      </c>
      <c r="H94" s="40" t="str">
        <f t="shared" si="16"/>
        <v>CRC-Costa Rican Colon</v>
      </c>
      <c r="J94" s="95"/>
      <c r="L94" s="95"/>
      <c r="N94" s="43" t="s">
        <v>1460</v>
      </c>
      <c r="O94" s="44" t="s">
        <v>1461</v>
      </c>
      <c r="P94" s="45" t="str">
        <f t="shared" si="19"/>
        <v>GT-Guatemala</v>
      </c>
      <c r="AE94" s="51"/>
      <c r="AF94" s="52" t="s">
        <v>1462</v>
      </c>
      <c r="AG94" s="52" t="s">
        <v>1462</v>
      </c>
      <c r="AH94" s="53" t="str">
        <f t="shared" si="17"/>
        <v>01242-01242</v>
      </c>
      <c r="AV94" s="100" t="s">
        <v>1463</v>
      </c>
      <c r="AW94" s="62" t="s">
        <v>1464</v>
      </c>
      <c r="AX94" s="63" t="str">
        <f t="shared" si="18"/>
        <v>248-SENEGAL</v>
      </c>
    </row>
    <row r="95" spans="2:50" ht="15">
      <c r="B95" s="97" t="s">
        <v>1120</v>
      </c>
      <c r="C95" s="97" t="s">
        <v>1465</v>
      </c>
      <c r="D95" s="75" t="str">
        <f t="shared" ref="D95:D158" si="20">CONCATENATE(B95,"-",C95)</f>
        <v>CX-Can, cylindrical</v>
      </c>
      <c r="F95" s="39" t="s">
        <v>1466</v>
      </c>
      <c r="G95" s="39" t="s">
        <v>1467</v>
      </c>
      <c r="H95" s="40" t="str">
        <f t="shared" si="16"/>
        <v>KWD-Kuwaiti Dinar</v>
      </c>
      <c r="J95" s="95"/>
      <c r="L95" s="95"/>
      <c r="N95" s="43" t="s">
        <v>1468</v>
      </c>
      <c r="O95" s="44" t="s">
        <v>1469</v>
      </c>
      <c r="P95" s="45" t="str">
        <f t="shared" si="19"/>
        <v>GU-Guam</v>
      </c>
      <c r="AE95" s="51"/>
      <c r="AF95" s="52" t="s">
        <v>1470</v>
      </c>
      <c r="AG95" s="52" t="s">
        <v>1470</v>
      </c>
      <c r="AH95" s="53" t="str">
        <f t="shared" si="17"/>
        <v>01243-01243</v>
      </c>
      <c r="AV95" s="100" t="s">
        <v>1471</v>
      </c>
      <c r="AW95" s="62" t="s">
        <v>1472</v>
      </c>
      <c r="AX95" s="63" t="str">
        <f t="shared" si="18"/>
        <v>252-GAMBIA</v>
      </c>
    </row>
    <row r="96" spans="2:50" ht="15">
      <c r="B96" s="97" t="s">
        <v>1131</v>
      </c>
      <c r="C96" s="97" t="s">
        <v>1473</v>
      </c>
      <c r="D96" s="75" t="str">
        <f t="shared" si="20"/>
        <v>CY-Cylinder</v>
      </c>
      <c r="F96" s="39" t="s">
        <v>1474</v>
      </c>
      <c r="G96" s="39" t="s">
        <v>1475</v>
      </c>
      <c r="H96" s="40" t="str">
        <f t="shared" si="16"/>
        <v>KPW-North Korean Won</v>
      </c>
      <c r="J96" s="95"/>
      <c r="L96" s="95"/>
      <c r="N96" s="43" t="s">
        <v>1476</v>
      </c>
      <c r="O96" s="44" t="s">
        <v>1477</v>
      </c>
      <c r="P96" s="45" t="str">
        <f t="shared" si="19"/>
        <v>GW-Guinea-Bissau</v>
      </c>
      <c r="AE96" s="51"/>
      <c r="AF96" s="52" t="s">
        <v>1478</v>
      </c>
      <c r="AG96" s="52" t="s">
        <v>1478</v>
      </c>
      <c r="AH96" s="53" t="str">
        <f t="shared" si="17"/>
        <v>01251-01251</v>
      </c>
      <c r="AV96" s="100" t="s">
        <v>1479</v>
      </c>
      <c r="AW96" s="62" t="s">
        <v>1480</v>
      </c>
      <c r="AX96" s="63" t="str">
        <f t="shared" si="18"/>
        <v>257-GUINEA - BISSAU</v>
      </c>
    </row>
    <row r="97" spans="2:50" ht="15">
      <c r="B97" s="97" t="s">
        <v>1141</v>
      </c>
      <c r="C97" s="97" t="s">
        <v>1481</v>
      </c>
      <c r="D97" s="75" t="str">
        <f t="shared" si="20"/>
        <v>CZ-Canvas</v>
      </c>
      <c r="F97" s="39" t="s">
        <v>1482</v>
      </c>
      <c r="G97" s="39" t="s">
        <v>1483</v>
      </c>
      <c r="H97" s="40" t="str">
        <f t="shared" si="16"/>
        <v>CUC-Cuban Peso Convertible </v>
      </c>
      <c r="J97" s="95"/>
      <c r="L97" s="95"/>
      <c r="N97" s="43" t="s">
        <v>1484</v>
      </c>
      <c r="O97" s="44" t="s">
        <v>1485</v>
      </c>
      <c r="P97" s="45" t="str">
        <f t="shared" si="19"/>
        <v>GY-Guyana</v>
      </c>
      <c r="AE97" s="51"/>
      <c r="AF97" s="52" t="s">
        <v>1486</v>
      </c>
      <c r="AG97" s="52" t="s">
        <v>1486</v>
      </c>
      <c r="AH97" s="53" t="str">
        <f t="shared" si="17"/>
        <v>01261-01261</v>
      </c>
      <c r="AV97" s="100" t="s">
        <v>1487</v>
      </c>
      <c r="AW97" s="62" t="s">
        <v>1488</v>
      </c>
      <c r="AX97" s="63" t="str">
        <f t="shared" si="18"/>
        <v xml:space="preserve">260-GUINEA </v>
      </c>
    </row>
    <row r="98" spans="2:50" ht="15">
      <c r="B98" s="97" t="s">
        <v>1489</v>
      </c>
      <c r="C98" s="97" t="s">
        <v>1490</v>
      </c>
      <c r="D98" s="75" t="str">
        <f t="shared" si="20"/>
        <v>DA-Crate, multiple layer, plastic</v>
      </c>
      <c r="F98" s="39" t="s">
        <v>1491</v>
      </c>
      <c r="G98" s="39" t="s">
        <v>1492</v>
      </c>
      <c r="H98" s="40" t="str">
        <f t="shared" si="16"/>
        <v>CUP-Cuban Peso</v>
      </c>
      <c r="J98" s="95"/>
      <c r="L98" s="95"/>
      <c r="N98" s="43" t="s">
        <v>1493</v>
      </c>
      <c r="O98" s="44" t="s">
        <v>1494</v>
      </c>
      <c r="P98" s="45" t="str">
        <f t="shared" si="19"/>
        <v>HK-Hong Kong</v>
      </c>
      <c r="AE98" s="51"/>
      <c r="AF98" s="52" t="s">
        <v>1495</v>
      </c>
      <c r="AG98" s="52" t="s">
        <v>1495</v>
      </c>
      <c r="AH98" s="53" t="str">
        <f t="shared" si="17"/>
        <v>01271-01271</v>
      </c>
      <c r="AV98" s="100" t="s">
        <v>1496</v>
      </c>
      <c r="AW98" s="62" t="s">
        <v>1497</v>
      </c>
      <c r="AX98" s="63" t="str">
        <f t="shared" si="18"/>
        <v>264-SIERRA LEONE</v>
      </c>
    </row>
    <row r="99" spans="2:50" ht="15">
      <c r="B99" s="97" t="s">
        <v>1498</v>
      </c>
      <c r="C99" s="97" t="s">
        <v>1499</v>
      </c>
      <c r="D99" s="75" t="str">
        <f t="shared" si="20"/>
        <v>DB-Crate, multiple layer, wooden</v>
      </c>
      <c r="F99" s="39" t="s">
        <v>1500</v>
      </c>
      <c r="G99" s="39" t="s">
        <v>1501</v>
      </c>
      <c r="H99" s="40" t="str">
        <f t="shared" si="16"/>
        <v>LAK-Lao Kip</v>
      </c>
      <c r="J99" s="95"/>
      <c r="L99" s="95"/>
      <c r="N99" s="43" t="s">
        <v>1502</v>
      </c>
      <c r="O99" s="44" t="s">
        <v>1503</v>
      </c>
      <c r="P99" s="45" t="str">
        <f t="shared" si="19"/>
        <v>HM-Heard Island and McDonald Islands</v>
      </c>
      <c r="AE99" s="51"/>
      <c r="AF99" s="52" t="s">
        <v>1504</v>
      </c>
      <c r="AG99" s="52" t="s">
        <v>1504</v>
      </c>
      <c r="AH99" s="53" t="str">
        <f t="shared" si="17"/>
        <v>01281-01281</v>
      </c>
      <c r="AV99" s="100" t="s">
        <v>1505</v>
      </c>
      <c r="AW99" s="62" t="s">
        <v>1506</v>
      </c>
      <c r="AX99" s="63" t="str">
        <f t="shared" si="18"/>
        <v>268-LIBERIA</v>
      </c>
    </row>
    <row r="100" spans="2:50" ht="15">
      <c r="B100" s="97" t="s">
        <v>1507</v>
      </c>
      <c r="C100" s="97" t="s">
        <v>1508</v>
      </c>
      <c r="D100" s="75" t="str">
        <f t="shared" si="20"/>
        <v>DC-Crate, multiple layer, cardboard</v>
      </c>
      <c r="F100" s="39" t="s">
        <v>1509</v>
      </c>
      <c r="G100" s="39" t="s">
        <v>1510</v>
      </c>
      <c r="H100" s="40" t="str">
        <f t="shared" si="16"/>
        <v>LSL-Lesotho Loti</v>
      </c>
      <c r="J100" s="95"/>
      <c r="L100" s="95"/>
      <c r="N100" s="43" t="s">
        <v>1511</v>
      </c>
      <c r="O100" s="44" t="s">
        <v>1512</v>
      </c>
      <c r="P100" s="45" t="str">
        <f t="shared" si="19"/>
        <v>HN-Honduras</v>
      </c>
      <c r="AE100" s="51"/>
      <c r="AF100" s="52" t="s">
        <v>1513</v>
      </c>
      <c r="AG100" s="52" t="s">
        <v>1513</v>
      </c>
      <c r="AH100" s="53" t="str">
        <f t="shared" si="17"/>
        <v>01291-01291</v>
      </c>
      <c r="AV100" s="100" t="s">
        <v>1514</v>
      </c>
      <c r="AW100" s="62" t="s">
        <v>1515</v>
      </c>
      <c r="AX100" s="63" t="str">
        <f t="shared" si="18"/>
        <v xml:space="preserve">272-Côte d'Ivoire </v>
      </c>
    </row>
    <row r="101" spans="2:50" ht="30">
      <c r="B101" s="97" t="s">
        <v>1516</v>
      </c>
      <c r="C101" s="97" t="s">
        <v>1517</v>
      </c>
      <c r="D101" s="75" t="str">
        <f t="shared" si="20"/>
        <v>DG-Cage, Commonwealth Handling Equipment Pool (CHEP)</v>
      </c>
      <c r="F101" s="39" t="s">
        <v>1518</v>
      </c>
      <c r="G101" s="39" t="s">
        <v>1519</v>
      </c>
      <c r="H101" s="40" t="str">
        <f t="shared" si="16"/>
        <v>LVL-Latvian Lats</v>
      </c>
      <c r="J101" s="95"/>
      <c r="L101" s="95"/>
      <c r="N101" s="43" t="s">
        <v>1520</v>
      </c>
      <c r="O101" s="44" t="s">
        <v>1521</v>
      </c>
      <c r="P101" s="45" t="str">
        <f t="shared" si="19"/>
        <v>HR-Croatia</v>
      </c>
      <c r="AE101" s="51"/>
      <c r="AF101" s="52" t="s">
        <v>1522</v>
      </c>
      <c r="AG101" s="52" t="s">
        <v>1522</v>
      </c>
      <c r="AH101" s="53" t="str">
        <f t="shared" si="17"/>
        <v>01301-01301</v>
      </c>
      <c r="AV101" s="100" t="s">
        <v>1523</v>
      </c>
      <c r="AW101" s="62" t="s">
        <v>1524</v>
      </c>
      <c r="AX101" s="63" t="str">
        <f t="shared" si="18"/>
        <v>276-GHANA</v>
      </c>
    </row>
    <row r="102" spans="2:50" ht="30">
      <c r="B102" s="97" t="s">
        <v>1525</v>
      </c>
      <c r="C102" s="97" t="s">
        <v>1526</v>
      </c>
      <c r="D102" s="75" t="str">
        <f t="shared" si="20"/>
        <v>DH-Box, Commonwealth Handling Equipment Pool (CHEP), Eurobox</v>
      </c>
      <c r="F102" s="39" t="s">
        <v>1527</v>
      </c>
      <c r="G102" s="39" t="s">
        <v>1528</v>
      </c>
      <c r="H102" s="40" t="str">
        <f t="shared" si="16"/>
        <v>LRD-Liberian Dollar</v>
      </c>
      <c r="J102" s="95"/>
      <c r="L102" s="95"/>
      <c r="N102" s="43" t="s">
        <v>1529</v>
      </c>
      <c r="O102" s="44" t="s">
        <v>1530</v>
      </c>
      <c r="P102" s="45" t="str">
        <f t="shared" si="19"/>
        <v>HT-Haiti</v>
      </c>
      <c r="AE102" s="51"/>
      <c r="AF102" s="52" t="s">
        <v>1531</v>
      </c>
      <c r="AG102" s="52" t="s">
        <v>1531</v>
      </c>
      <c r="AH102" s="53" t="str">
        <f t="shared" si="17"/>
        <v>01311-01311</v>
      </c>
      <c r="AV102" s="100" t="s">
        <v>1532</v>
      </c>
      <c r="AW102" s="62" t="s">
        <v>1533</v>
      </c>
      <c r="AX102" s="63" t="str">
        <f t="shared" si="18"/>
        <v>280-TOGO</v>
      </c>
    </row>
    <row r="103" spans="2:50" ht="15">
      <c r="B103" s="97" t="s">
        <v>1534</v>
      </c>
      <c r="C103" s="97" t="s">
        <v>1535</v>
      </c>
      <c r="D103" s="75" t="str">
        <f t="shared" si="20"/>
        <v>DI-Drum, iron</v>
      </c>
      <c r="F103" s="39" t="s">
        <v>1536</v>
      </c>
      <c r="G103" s="39" t="s">
        <v>1537</v>
      </c>
      <c r="H103" s="40" t="str">
        <f t="shared" si="16"/>
        <v>LYD-Libyan Dinar</v>
      </c>
      <c r="J103" s="95"/>
      <c r="L103" s="95"/>
      <c r="N103" s="43" t="s">
        <v>1538</v>
      </c>
      <c r="O103" s="44" t="s">
        <v>1539</v>
      </c>
      <c r="P103" s="45" t="str">
        <f t="shared" si="19"/>
        <v>HU-Hungarian</v>
      </c>
      <c r="AE103" s="51"/>
      <c r="AF103" s="52" t="s">
        <v>1540</v>
      </c>
      <c r="AG103" s="52" t="s">
        <v>1540</v>
      </c>
      <c r="AH103" s="53" t="str">
        <f t="shared" si="17"/>
        <v>02019-02019</v>
      </c>
      <c r="AV103" s="100" t="s">
        <v>1541</v>
      </c>
      <c r="AW103" s="62" t="s">
        <v>1542</v>
      </c>
      <c r="AX103" s="63" t="str">
        <f t="shared" si="18"/>
        <v>284-BENIN</v>
      </c>
    </row>
    <row r="104" spans="2:50" ht="15">
      <c r="B104" s="97" t="s">
        <v>1162</v>
      </c>
      <c r="C104" s="97" t="s">
        <v>1543</v>
      </c>
      <c r="D104" s="75" t="str">
        <f t="shared" si="20"/>
        <v>DJ-Demijohn, non-protected</v>
      </c>
      <c r="F104" s="39" t="s">
        <v>1544</v>
      </c>
      <c r="G104" s="39" t="s">
        <v>1545</v>
      </c>
      <c r="H104" s="40" t="str">
        <f t="shared" si="16"/>
        <v>LTL-Lithuanian Litus</v>
      </c>
      <c r="J104" s="95"/>
      <c r="L104" s="95"/>
      <c r="N104" s="43" t="s">
        <v>1546</v>
      </c>
      <c r="O104" s="44" t="s">
        <v>1547</v>
      </c>
      <c r="P104" s="45" t="str">
        <f t="shared" si="19"/>
        <v>ID-Indonesia</v>
      </c>
      <c r="AE104" s="51"/>
      <c r="AF104" s="52" t="s">
        <v>1548</v>
      </c>
      <c r="AG104" s="52" t="s">
        <v>1548</v>
      </c>
      <c r="AH104" s="53" t="str">
        <f t="shared" si="17"/>
        <v>02020-02020</v>
      </c>
      <c r="AV104" s="100" t="s">
        <v>1549</v>
      </c>
      <c r="AW104" s="62" t="s">
        <v>1550</v>
      </c>
      <c r="AX104" s="63" t="str">
        <f t="shared" si="18"/>
        <v>288-NIGERIA</v>
      </c>
    </row>
    <row r="105" spans="2:50" ht="15">
      <c r="B105" s="97" t="s">
        <v>1173</v>
      </c>
      <c r="C105" s="97" t="s">
        <v>1551</v>
      </c>
      <c r="D105" s="75" t="str">
        <f t="shared" si="20"/>
        <v>DK-Crate, bulk, cardboard</v>
      </c>
      <c r="F105" s="39" t="s">
        <v>1552</v>
      </c>
      <c r="G105" s="39" t="s">
        <v>1553</v>
      </c>
      <c r="H105" s="40" t="str">
        <f t="shared" si="16"/>
        <v>LBP-Lebanese Pound</v>
      </c>
      <c r="N105" s="43" t="s">
        <v>1554</v>
      </c>
      <c r="O105" s="44" t="s">
        <v>1555</v>
      </c>
      <c r="P105" s="45" t="str">
        <f t="shared" si="19"/>
        <v>IE-Irish</v>
      </c>
      <c r="AE105" s="51"/>
      <c r="AF105" s="52" t="s">
        <v>1556</v>
      </c>
      <c r="AG105" s="52" t="s">
        <v>1556</v>
      </c>
      <c r="AH105" s="53" t="str">
        <f t="shared" si="17"/>
        <v>02021-02021</v>
      </c>
      <c r="AV105" s="100" t="s">
        <v>1557</v>
      </c>
      <c r="AW105" s="62" t="s">
        <v>1558</v>
      </c>
      <c r="AX105" s="63" t="str">
        <f t="shared" si="18"/>
        <v>302-CAMEROON</v>
      </c>
    </row>
    <row r="106" spans="2:50" ht="26.25">
      <c r="B106" s="97" t="s">
        <v>1559</v>
      </c>
      <c r="C106" s="97" t="s">
        <v>1560</v>
      </c>
      <c r="D106" s="75" t="str">
        <f t="shared" si="20"/>
        <v>DL-Crate, bulk, plastic</v>
      </c>
      <c r="F106" s="39" t="s">
        <v>1561</v>
      </c>
      <c r="G106" s="39" t="s">
        <v>1562</v>
      </c>
      <c r="H106" s="40" t="str">
        <f t="shared" si="16"/>
        <v>HUF-Hungarian Forint</v>
      </c>
      <c r="N106" s="43" t="s">
        <v>1563</v>
      </c>
      <c r="O106" s="44" t="s">
        <v>1564</v>
      </c>
      <c r="P106" s="45" t="str">
        <f t="shared" si="19"/>
        <v>IL-Israel</v>
      </c>
      <c r="AE106" s="51"/>
      <c r="AF106" s="52" t="s">
        <v>1565</v>
      </c>
      <c r="AG106" s="52" t="s">
        <v>1565</v>
      </c>
      <c r="AH106" s="53" t="str">
        <f t="shared" si="17"/>
        <v>02022-02022</v>
      </c>
      <c r="AV106" s="100" t="s">
        <v>1566</v>
      </c>
      <c r="AW106" s="62" t="s">
        <v>1567</v>
      </c>
      <c r="AX106" s="63" t="str">
        <f t="shared" si="18"/>
        <v>306-CENTRAL AFRICAN REPUBLIC</v>
      </c>
    </row>
    <row r="107" spans="2:50" ht="15">
      <c r="B107" s="97" t="s">
        <v>1183</v>
      </c>
      <c r="C107" s="97" t="s">
        <v>1568</v>
      </c>
      <c r="D107" s="75" t="str">
        <f t="shared" si="20"/>
        <v>DM-Crate, bulk, wooden</v>
      </c>
      <c r="F107" s="39" t="s">
        <v>1569</v>
      </c>
      <c r="G107" s="39" t="s">
        <v>1570</v>
      </c>
      <c r="H107" s="40" t="str">
        <f t="shared" si="16"/>
        <v>MGA-Malagasy Ariary </v>
      </c>
      <c r="N107" s="43" t="s">
        <v>1571</v>
      </c>
      <c r="O107" s="44" t="s">
        <v>1572</v>
      </c>
      <c r="P107" s="45" t="str">
        <f t="shared" si="19"/>
        <v>IM-Isle of Man</v>
      </c>
      <c r="AE107" s="51"/>
      <c r="AF107" s="52" t="s">
        <v>1573</v>
      </c>
      <c r="AG107" s="52" t="s">
        <v>1573</v>
      </c>
      <c r="AH107" s="53" t="str">
        <f t="shared" si="17"/>
        <v>03013-03013</v>
      </c>
      <c r="AV107" s="100" t="s">
        <v>1574</v>
      </c>
      <c r="AW107" s="62" t="s">
        <v>1575</v>
      </c>
      <c r="AX107" s="63" t="str">
        <f t="shared" si="18"/>
        <v>310-Equatorial Guinea</v>
      </c>
    </row>
    <row r="108" spans="2:50" ht="15">
      <c r="B108" s="97" t="s">
        <v>1576</v>
      </c>
      <c r="C108" s="97" t="s">
        <v>1577</v>
      </c>
      <c r="D108" s="75" t="str">
        <f t="shared" si="20"/>
        <v>DN-Dispenser</v>
      </c>
      <c r="F108" s="39" t="s">
        <v>1578</v>
      </c>
      <c r="G108" s="39" t="s">
        <v>1579</v>
      </c>
      <c r="H108" s="40" t="str">
        <f t="shared" si="16"/>
        <v>MOP-Macau Pataca</v>
      </c>
      <c r="N108" s="43" t="s">
        <v>1580</v>
      </c>
      <c r="O108" s="44" t="s">
        <v>1581</v>
      </c>
      <c r="P108" s="45" t="str">
        <f t="shared" si="19"/>
        <v>IN-India</v>
      </c>
      <c r="AE108" s="51"/>
      <c r="AF108" s="52" t="s">
        <v>1582</v>
      </c>
      <c r="AG108" s="52" t="s">
        <v>1582</v>
      </c>
      <c r="AH108" s="53" t="str">
        <f t="shared" si="17"/>
        <v>03014-03014</v>
      </c>
      <c r="AV108" s="100" t="s">
        <v>1583</v>
      </c>
      <c r="AW108" s="62" t="s">
        <v>1584</v>
      </c>
      <c r="AX108" s="63" t="str">
        <f t="shared" si="18"/>
        <v>311-SAO TOME AND PRINCIPE</v>
      </c>
    </row>
    <row r="109" spans="2:50" ht="15">
      <c r="B109" s="97" t="s">
        <v>1585</v>
      </c>
      <c r="C109" s="97" t="s">
        <v>1586</v>
      </c>
      <c r="D109" s="75" t="str">
        <f t="shared" si="20"/>
        <v>DP-Demijohn, protected</v>
      </c>
      <c r="F109" s="39" t="s">
        <v>1587</v>
      </c>
      <c r="G109" s="39" t="s">
        <v>1588</v>
      </c>
      <c r="H109" s="40" t="str">
        <f t="shared" si="16"/>
        <v>MKD-Denar</v>
      </c>
      <c r="N109" s="43" t="s">
        <v>1589</v>
      </c>
      <c r="O109" s="44" t="s">
        <v>1590</v>
      </c>
      <c r="P109" s="45" t="str">
        <f t="shared" si="19"/>
        <v>IO-British Indian Oc Terr</v>
      </c>
      <c r="AE109" s="51"/>
      <c r="AF109" s="52" t="s">
        <v>1591</v>
      </c>
      <c r="AG109" s="52" t="s">
        <v>1591</v>
      </c>
      <c r="AH109" s="53" t="str">
        <f t="shared" si="17"/>
        <v>03021-03021</v>
      </c>
      <c r="AV109" s="100" t="s">
        <v>1592</v>
      </c>
      <c r="AW109" s="62" t="s">
        <v>1593</v>
      </c>
      <c r="AX109" s="63" t="str">
        <f t="shared" si="18"/>
        <v>314-GABON</v>
      </c>
    </row>
    <row r="110" spans="2:50" ht="15">
      <c r="B110" s="97" t="s">
        <v>1594</v>
      </c>
      <c r="C110" s="97" t="s">
        <v>1595</v>
      </c>
      <c r="D110" s="75" t="str">
        <f t="shared" si="20"/>
        <v>DR-Drum</v>
      </c>
      <c r="F110" s="39" t="s">
        <v>1596</v>
      </c>
      <c r="G110" s="39" t="s">
        <v>1597</v>
      </c>
      <c r="H110" s="40" t="str">
        <f t="shared" si="16"/>
        <v>MWK-Malawi Kwacha</v>
      </c>
      <c r="N110" s="43" t="s">
        <v>1598</v>
      </c>
      <c r="O110" s="44" t="s">
        <v>1599</v>
      </c>
      <c r="P110" s="45" t="str">
        <f t="shared" si="19"/>
        <v>IQ-Iraq</v>
      </c>
      <c r="AE110" s="51"/>
      <c r="AF110" s="52" t="s">
        <v>1600</v>
      </c>
      <c r="AG110" s="52" t="s">
        <v>1600</v>
      </c>
      <c r="AH110" s="53" t="str">
        <f t="shared" si="17"/>
        <v>03022-03022</v>
      </c>
      <c r="AV110" s="100" t="s">
        <v>1601</v>
      </c>
      <c r="AW110" s="62" t="s">
        <v>1602</v>
      </c>
      <c r="AX110" s="63" t="str">
        <f t="shared" si="18"/>
        <v>318-CONGO</v>
      </c>
    </row>
    <row r="111" spans="2:50" ht="39">
      <c r="B111" s="97" t="s">
        <v>1603</v>
      </c>
      <c r="C111" s="97" t="s">
        <v>1604</v>
      </c>
      <c r="D111" s="75" t="str">
        <f t="shared" si="20"/>
        <v>DS-Tray, one layer no cover, plastic</v>
      </c>
      <c r="F111" s="39" t="s">
        <v>1605</v>
      </c>
      <c r="G111" s="39" t="s">
        <v>1606</v>
      </c>
      <c r="H111" s="40" t="str">
        <f t="shared" si="16"/>
        <v>MVR-Maldive Rufiyaa</v>
      </c>
      <c r="N111" s="43" t="s">
        <v>1607</v>
      </c>
      <c r="O111" s="44" t="s">
        <v>1608</v>
      </c>
      <c r="P111" s="45" t="str">
        <f t="shared" si="19"/>
        <v>IR-Iran</v>
      </c>
      <c r="AE111" s="51"/>
      <c r="AF111" s="52" t="s">
        <v>1609</v>
      </c>
      <c r="AG111" s="52" t="s">
        <v>1609</v>
      </c>
      <c r="AH111" s="53" t="str">
        <f t="shared" si="17"/>
        <v>03031-03031</v>
      </c>
      <c r="AV111" s="100" t="s">
        <v>1610</v>
      </c>
      <c r="AW111" s="63" t="s">
        <v>1611</v>
      </c>
      <c r="AX111" s="63" t="str">
        <f t="shared" si="18"/>
        <v>322-Congo, Democratic Republic of
Formerly Zaire</v>
      </c>
    </row>
    <row r="112" spans="2:50" ht="30">
      <c r="B112" s="97" t="s">
        <v>1612</v>
      </c>
      <c r="C112" s="97" t="s">
        <v>1613</v>
      </c>
      <c r="D112" s="75" t="str">
        <f t="shared" si="20"/>
        <v>DT-Bandeja, de madera, de un nivel, sin tapa</v>
      </c>
      <c r="F112" s="39" t="s">
        <v>1614</v>
      </c>
      <c r="G112" s="39" t="s">
        <v>1615</v>
      </c>
      <c r="H112" s="40" t="str">
        <f t="shared" si="16"/>
        <v>MYR-Malaysian Ringgit</v>
      </c>
      <c r="N112" s="43" t="s">
        <v>1616</v>
      </c>
      <c r="O112" s="44" t="s">
        <v>1617</v>
      </c>
      <c r="P112" s="45" t="str">
        <f t="shared" si="19"/>
        <v>IS-Icelandic</v>
      </c>
      <c r="AE112" s="51"/>
      <c r="AF112" s="52" t="s">
        <v>1618</v>
      </c>
      <c r="AG112" s="52" t="s">
        <v>1618</v>
      </c>
      <c r="AH112" s="53" t="str">
        <f t="shared" si="17"/>
        <v>03998-03998</v>
      </c>
      <c r="AV112" s="100" t="s">
        <v>1619</v>
      </c>
      <c r="AW112" s="62" t="s">
        <v>1620</v>
      </c>
      <c r="AX112" s="63" t="str">
        <f t="shared" si="18"/>
        <v>324-RUANDA</v>
      </c>
    </row>
    <row r="113" spans="2:50" ht="30">
      <c r="B113" s="97" t="s">
        <v>1621</v>
      </c>
      <c r="C113" s="97" t="s">
        <v>1622</v>
      </c>
      <c r="D113" s="75" t="str">
        <f t="shared" si="20"/>
        <v>DU-Bandeja, de poliestireno, de un nivel, sin tapa</v>
      </c>
      <c r="F113" s="39" t="s">
        <v>537</v>
      </c>
      <c r="G113" s="39" t="s">
        <v>1623</v>
      </c>
      <c r="H113" s="40" t="str">
        <f t="shared" si="16"/>
        <v>XOF-Mali, CFA Franc BCEAO</v>
      </c>
      <c r="N113" s="43" t="s">
        <v>1624</v>
      </c>
      <c r="O113" s="44" t="s">
        <v>1625</v>
      </c>
      <c r="P113" s="45" t="str">
        <f t="shared" si="19"/>
        <v>IT-Italian</v>
      </c>
      <c r="AE113" s="51"/>
      <c r="AF113" s="52" t="s">
        <v>1626</v>
      </c>
      <c r="AG113" s="52" t="s">
        <v>1626</v>
      </c>
      <c r="AH113" s="53" t="str">
        <f t="shared" si="17"/>
        <v>03999-03999</v>
      </c>
      <c r="AV113" s="100" t="s">
        <v>1627</v>
      </c>
      <c r="AW113" s="62" t="s">
        <v>1628</v>
      </c>
      <c r="AX113" s="63" t="str">
        <f t="shared" si="18"/>
        <v>328-BURUNDI</v>
      </c>
    </row>
    <row r="114" spans="2:50" ht="15">
      <c r="B114" s="97" t="s">
        <v>1629</v>
      </c>
      <c r="C114" s="97" t="s">
        <v>1630</v>
      </c>
      <c r="D114" s="75" t="str">
        <f t="shared" si="20"/>
        <v>DV-Tray, one layer no cover, cardboard</v>
      </c>
      <c r="F114" s="39" t="s">
        <v>1631</v>
      </c>
      <c r="G114" s="39" t="s">
        <v>1632</v>
      </c>
      <c r="H114" s="40" t="str">
        <f t="shared" si="16"/>
        <v>MUR-Mauritius Rupee</v>
      </c>
      <c r="N114" s="43" t="s">
        <v>1633</v>
      </c>
      <c r="O114" s="44" t="s">
        <v>1634</v>
      </c>
      <c r="P114" s="45" t="str">
        <f t="shared" si="19"/>
        <v>JE-Jersey</v>
      </c>
      <c r="AE114" s="51"/>
      <c r="AF114" s="52" t="s">
        <v>1635</v>
      </c>
      <c r="AG114" s="52" t="s">
        <v>1635</v>
      </c>
      <c r="AH114" s="53" t="str">
        <f t="shared" si="17"/>
        <v>04011-04011</v>
      </c>
      <c r="AV114" s="100" t="s">
        <v>1636</v>
      </c>
      <c r="AW114" s="62" t="s">
        <v>1637</v>
      </c>
      <c r="AX114" s="63" t="str">
        <f t="shared" si="18"/>
        <v>329-ST HELENA</v>
      </c>
    </row>
    <row r="115" spans="2:50" ht="30">
      <c r="B115" s="97" t="s">
        <v>1638</v>
      </c>
      <c r="C115" s="97" t="s">
        <v>1639</v>
      </c>
      <c r="D115" s="75" t="str">
        <f t="shared" si="20"/>
        <v>DW-Bandeja, de plástico, de dos niveles, sin tapa</v>
      </c>
      <c r="F115" s="39" t="s">
        <v>1640</v>
      </c>
      <c r="G115" s="39" t="s">
        <v>1641</v>
      </c>
      <c r="H115" s="40" t="str">
        <f t="shared" si="16"/>
        <v>MXN-Mexican Peso</v>
      </c>
      <c r="N115" s="43" t="s">
        <v>1642</v>
      </c>
      <c r="O115" s="44" t="s">
        <v>1643</v>
      </c>
      <c r="P115" s="45" t="str">
        <f t="shared" si="19"/>
        <v>JM-Jamaica</v>
      </c>
      <c r="AE115" s="51"/>
      <c r="AF115" s="52" t="s">
        <v>1644</v>
      </c>
      <c r="AG115" s="52" t="s">
        <v>1644</v>
      </c>
      <c r="AH115" s="53" t="str">
        <f t="shared" si="17"/>
        <v>04022-04022</v>
      </c>
      <c r="AV115" s="100" t="s">
        <v>1645</v>
      </c>
      <c r="AW115" s="62" t="s">
        <v>1646</v>
      </c>
      <c r="AX115" s="63" t="str">
        <f t="shared" si="18"/>
        <v>330-ANGOLA</v>
      </c>
    </row>
    <row r="116" spans="2:50" ht="15.75">
      <c r="B116" s="97" t="s">
        <v>1647</v>
      </c>
      <c r="C116" s="97" t="s">
        <v>1648</v>
      </c>
      <c r="D116" s="75" t="str">
        <f t="shared" si="20"/>
        <v>DX-Tray, two layers no cover, wooden</v>
      </c>
      <c r="F116" s="39" t="s">
        <v>1649</v>
      </c>
      <c r="G116" s="39" t="s">
        <v>1650</v>
      </c>
      <c r="H116" s="40" t="str">
        <f t="shared" si="16"/>
        <v>EGP-Egyptian Pound</v>
      </c>
      <c r="N116" s="43" t="s">
        <v>1651</v>
      </c>
      <c r="O116" s="44" t="s">
        <v>1652</v>
      </c>
      <c r="P116" s="45" t="str">
        <f t="shared" si="19"/>
        <v>JO-Jordan</v>
      </c>
      <c r="AE116" s="51"/>
      <c r="AF116" s="52" t="s">
        <v>1653</v>
      </c>
      <c r="AG116" s="52" t="s">
        <v>1653</v>
      </c>
      <c r="AH116" s="53" t="str">
        <f t="shared" si="17"/>
        <v>04023-04023</v>
      </c>
      <c r="AV116" s="100" t="s">
        <v>1654</v>
      </c>
      <c r="AW116" s="101" t="s">
        <v>1655</v>
      </c>
      <c r="AX116" s="63" t="str">
        <f t="shared" si="18"/>
        <v>334-Ethiopia</v>
      </c>
    </row>
    <row r="117" spans="2:50" ht="15.75">
      <c r="B117" s="97" t="s">
        <v>1656</v>
      </c>
      <c r="C117" s="97" t="s">
        <v>1657</v>
      </c>
      <c r="D117" s="75" t="str">
        <f t="shared" si="20"/>
        <v>DY-Tray, two layers no cover, cardboard</v>
      </c>
      <c r="F117" s="39" t="s">
        <v>1658</v>
      </c>
      <c r="G117" s="39" t="s">
        <v>1659</v>
      </c>
      <c r="H117" s="40" t="str">
        <f t="shared" si="16"/>
        <v>MNT-Mongolian Tugrik</v>
      </c>
      <c r="N117" s="43" t="s">
        <v>1660</v>
      </c>
      <c r="O117" s="44" t="s">
        <v>1661</v>
      </c>
      <c r="P117" s="45" t="str">
        <f t="shared" si="19"/>
        <v>JP-Japan</v>
      </c>
      <c r="AE117" s="51"/>
      <c r="AF117" s="52" t="s">
        <v>1662</v>
      </c>
      <c r="AG117" s="52" t="s">
        <v>1662</v>
      </c>
      <c r="AH117" s="53" t="str">
        <f t="shared" si="17"/>
        <v>04032-04032</v>
      </c>
      <c r="AV117" s="100" t="s">
        <v>1663</v>
      </c>
      <c r="AW117" s="102" t="s">
        <v>1664</v>
      </c>
      <c r="AX117" s="63" t="str">
        <f t="shared" si="18"/>
        <v>336-Eritrea</v>
      </c>
    </row>
    <row r="118" spans="2:50" ht="15.75">
      <c r="B118" s="97" t="s">
        <v>1213</v>
      </c>
      <c r="C118" s="97" t="s">
        <v>1665</v>
      </c>
      <c r="D118" s="75" t="str">
        <f t="shared" si="20"/>
        <v>EC-Bag, plastic</v>
      </c>
      <c r="F118" s="39" t="s">
        <v>1666</v>
      </c>
      <c r="G118" s="39" t="s">
        <v>1667</v>
      </c>
      <c r="H118" s="40" t="str">
        <f t="shared" si="16"/>
        <v>MDL-Moldovan Leu</v>
      </c>
      <c r="N118" s="43" t="s">
        <v>1668</v>
      </c>
      <c r="O118" s="44" t="s">
        <v>1669</v>
      </c>
      <c r="P118" s="45" t="str">
        <f t="shared" si="19"/>
        <v>KE-Kenya</v>
      </c>
      <c r="AE118" s="51"/>
      <c r="AF118" s="52" t="s">
        <v>1670</v>
      </c>
      <c r="AG118" s="52" t="s">
        <v>1670</v>
      </c>
      <c r="AH118" s="53" t="str">
        <f t="shared" si="17"/>
        <v>04033-04033</v>
      </c>
      <c r="AV118" s="100" t="s">
        <v>1671</v>
      </c>
      <c r="AW118" s="102" t="s">
        <v>1672</v>
      </c>
      <c r="AX118" s="63" t="str">
        <f t="shared" si="18"/>
        <v>338-Djibouti</v>
      </c>
    </row>
    <row r="119" spans="2:50" ht="15">
      <c r="B119" s="97" t="s">
        <v>1673</v>
      </c>
      <c r="C119" s="97" t="s">
        <v>1674</v>
      </c>
      <c r="D119" s="75" t="str">
        <f t="shared" si="20"/>
        <v>ED-Case, with pallet base</v>
      </c>
      <c r="F119" s="39" t="s">
        <v>246</v>
      </c>
      <c r="G119" s="39" t="s">
        <v>247</v>
      </c>
      <c r="H119" s="40" t="str">
        <f t="shared" si="16"/>
        <v>XCD-East Carribbean Dollar</v>
      </c>
      <c r="N119" s="43" t="s">
        <v>1675</v>
      </c>
      <c r="O119" s="44" t="s">
        <v>1676</v>
      </c>
      <c r="P119" s="45" t="str">
        <f t="shared" si="19"/>
        <v>KG-Kyrgyzstan</v>
      </c>
      <c r="AE119" s="51"/>
      <c r="AF119" s="52" t="s">
        <v>1677</v>
      </c>
      <c r="AG119" s="52" t="s">
        <v>1677</v>
      </c>
      <c r="AH119" s="53" t="str">
        <f t="shared" si="17"/>
        <v>04041-04041</v>
      </c>
      <c r="AV119" s="100" t="s">
        <v>1678</v>
      </c>
      <c r="AW119" s="62" t="s">
        <v>1679</v>
      </c>
      <c r="AX119" s="63" t="str">
        <f t="shared" si="18"/>
        <v>342-SOMALI</v>
      </c>
    </row>
    <row r="120" spans="2:50" ht="15">
      <c r="B120" s="97" t="s">
        <v>1224</v>
      </c>
      <c r="C120" s="97" t="s">
        <v>1680</v>
      </c>
      <c r="D120" s="75" t="str">
        <f t="shared" si="20"/>
        <v>EE-Case, with pallet base, wooden</v>
      </c>
      <c r="F120" s="39" t="s">
        <v>1681</v>
      </c>
      <c r="G120" s="39" t="s">
        <v>1682</v>
      </c>
      <c r="H120" s="40" t="str">
        <f t="shared" si="16"/>
        <v>MRO-Mauritanian Ouguiya</v>
      </c>
      <c r="N120" s="43" t="s">
        <v>1683</v>
      </c>
      <c r="O120" s="44" t="s">
        <v>1684</v>
      </c>
      <c r="P120" s="45" t="str">
        <f t="shared" si="19"/>
        <v>KH-Cambodia</v>
      </c>
      <c r="AE120" s="51"/>
      <c r="AF120" s="52" t="s">
        <v>1685</v>
      </c>
      <c r="AG120" s="52" t="s">
        <v>1685</v>
      </c>
      <c r="AH120" s="53" t="str">
        <f t="shared" si="17"/>
        <v>04042-04042</v>
      </c>
      <c r="AV120" s="100" t="s">
        <v>1686</v>
      </c>
      <c r="AW120" s="62" t="s">
        <v>1687</v>
      </c>
      <c r="AX120" s="63" t="str">
        <f t="shared" si="18"/>
        <v>346-KENYA</v>
      </c>
    </row>
    <row r="121" spans="2:50" ht="15">
      <c r="B121" s="97" t="s">
        <v>1688</v>
      </c>
      <c r="C121" s="97" t="s">
        <v>1689</v>
      </c>
      <c r="D121" s="75" t="str">
        <f t="shared" si="20"/>
        <v>EF-Case, with pallet base, cardboard</v>
      </c>
      <c r="F121" s="39" t="s">
        <v>1690</v>
      </c>
      <c r="G121" s="39" t="s">
        <v>1691</v>
      </c>
      <c r="H121" s="40" t="str">
        <f t="shared" si="16"/>
        <v>MZN-Mozambique Metical</v>
      </c>
      <c r="N121" s="43" t="s">
        <v>1692</v>
      </c>
      <c r="O121" s="44" t="s">
        <v>1693</v>
      </c>
      <c r="P121" s="45" t="str">
        <f t="shared" si="19"/>
        <v>KI-Kiribati</v>
      </c>
      <c r="AE121" s="51"/>
      <c r="AF121" s="52" t="s">
        <v>1694</v>
      </c>
      <c r="AG121" s="52" t="s">
        <v>1694</v>
      </c>
      <c r="AH121" s="53" t="str">
        <f t="shared" si="17"/>
        <v>04043-04043</v>
      </c>
      <c r="AV121" s="100" t="s">
        <v>1695</v>
      </c>
      <c r="AW121" s="62" t="s">
        <v>1696</v>
      </c>
      <c r="AX121" s="63" t="str">
        <f t="shared" si="18"/>
        <v>350-UGANDA</v>
      </c>
    </row>
    <row r="122" spans="2:50" ht="15">
      <c r="B122" s="97" t="s">
        <v>1234</v>
      </c>
      <c r="C122" s="97" t="s">
        <v>1697</v>
      </c>
      <c r="D122" s="75" t="str">
        <f t="shared" si="20"/>
        <v>EG-Case, with pallet base, plastic</v>
      </c>
      <c r="F122" s="39" t="s">
        <v>1698</v>
      </c>
      <c r="G122" s="39" t="s">
        <v>1699</v>
      </c>
      <c r="H122" s="40" t="str">
        <f t="shared" si="16"/>
        <v>MMK-Myanmar Kyat</v>
      </c>
      <c r="N122" s="43" t="s">
        <v>1700</v>
      </c>
      <c r="O122" s="44" t="s">
        <v>1701</v>
      </c>
      <c r="P122" s="45" t="str">
        <f t="shared" si="19"/>
        <v>KM-Comoros</v>
      </c>
      <c r="AE122" s="51"/>
      <c r="AF122" s="52" t="s">
        <v>1702</v>
      </c>
      <c r="AG122" s="52" t="s">
        <v>1702</v>
      </c>
      <c r="AH122" s="53" t="str">
        <f t="shared" si="17"/>
        <v>04051-04051</v>
      </c>
      <c r="AV122" s="100" t="s">
        <v>1703</v>
      </c>
      <c r="AW122" s="62" t="s">
        <v>1704</v>
      </c>
      <c r="AX122" s="63" t="str">
        <f t="shared" si="18"/>
        <v>352-TANZANIA</v>
      </c>
    </row>
    <row r="123" spans="2:50" ht="15.75">
      <c r="B123" s="97" t="s">
        <v>1244</v>
      </c>
      <c r="C123" s="97" t="s">
        <v>1705</v>
      </c>
      <c r="D123" s="75" t="str">
        <f t="shared" si="20"/>
        <v>EH-Case, with pallet base, metal</v>
      </c>
      <c r="F123" s="39" t="s">
        <v>1706</v>
      </c>
      <c r="G123" s="39" t="s">
        <v>1707</v>
      </c>
      <c r="H123" s="40" t="str">
        <f t="shared" si="16"/>
        <v>NAD-Namibian Dollar</v>
      </c>
      <c r="N123" s="43" t="s">
        <v>1708</v>
      </c>
      <c r="O123" s="44" t="s">
        <v>1709</v>
      </c>
      <c r="P123" s="45" t="str">
        <f t="shared" si="19"/>
        <v>KN-Saint Kitts and Nevis</v>
      </c>
      <c r="AE123" s="51"/>
      <c r="AF123" s="52" t="s">
        <v>1710</v>
      </c>
      <c r="AG123" s="52" t="s">
        <v>1710</v>
      </c>
      <c r="AH123" s="53" t="str">
        <f t="shared" si="17"/>
        <v>04061-04061</v>
      </c>
      <c r="AV123" s="100" t="s">
        <v>1711</v>
      </c>
      <c r="AW123" s="103" t="s">
        <v>1712</v>
      </c>
      <c r="AX123" s="63" t="str">
        <f t="shared" si="18"/>
        <v xml:space="preserve">355-Seychelles </v>
      </c>
    </row>
    <row r="124" spans="2:50" ht="15.75">
      <c r="B124" s="97" t="s">
        <v>1713</v>
      </c>
      <c r="C124" s="97" t="s">
        <v>1714</v>
      </c>
      <c r="D124" s="75" t="str">
        <f t="shared" si="20"/>
        <v>EI-Case, isothermic</v>
      </c>
      <c r="F124" s="39" t="s">
        <v>1191</v>
      </c>
      <c r="G124" s="39" t="s">
        <v>1715</v>
      </c>
      <c r="H124" s="40" t="str">
        <f t="shared" si="16"/>
        <v>ZAR-Namibia Rand</v>
      </c>
      <c r="N124" s="43" t="s">
        <v>1716</v>
      </c>
      <c r="O124" s="44" t="s">
        <v>1717</v>
      </c>
      <c r="P124" s="45" t="str">
        <f t="shared" si="19"/>
        <v>KP-North Korea</v>
      </c>
      <c r="AE124" s="51"/>
      <c r="AF124" s="52" t="s">
        <v>1718</v>
      </c>
      <c r="AG124" s="52" t="s">
        <v>1718</v>
      </c>
      <c r="AH124" s="53" t="str">
        <f t="shared" si="17"/>
        <v>04062-04062</v>
      </c>
      <c r="AV124" s="100" t="s">
        <v>1719</v>
      </c>
      <c r="AW124" s="103" t="s">
        <v>1720</v>
      </c>
      <c r="AX124" s="63" t="str">
        <f t="shared" si="18"/>
        <v>357-British Indian Ocean Territory</v>
      </c>
    </row>
    <row r="125" spans="2:50" ht="15.75">
      <c r="B125" s="97" t="s">
        <v>1721</v>
      </c>
      <c r="C125" s="97" t="s">
        <v>1722</v>
      </c>
      <c r="D125" s="75" t="str">
        <f t="shared" si="20"/>
        <v>EN-Envelope</v>
      </c>
      <c r="F125" s="39" t="s">
        <v>1147</v>
      </c>
      <c r="G125" s="39" t="s">
        <v>1723</v>
      </c>
      <c r="H125" s="40" t="str">
        <f t="shared" si="16"/>
        <v>NPR-Nepalese Rupee</v>
      </c>
      <c r="N125" s="43" t="s">
        <v>1724</v>
      </c>
      <c r="O125" s="44" t="s">
        <v>1725</v>
      </c>
      <c r="P125" s="45" t="str">
        <f t="shared" si="19"/>
        <v>KR-Korea, Republic of</v>
      </c>
      <c r="AE125" s="51"/>
      <c r="AF125" s="52" t="s">
        <v>1726</v>
      </c>
      <c r="AG125" s="52" t="s">
        <v>1726</v>
      </c>
      <c r="AH125" s="53" t="str">
        <f t="shared" si="17"/>
        <v>04071-04071</v>
      </c>
      <c r="AV125" s="100" t="s">
        <v>1727</v>
      </c>
      <c r="AW125" s="102" t="s">
        <v>1728</v>
      </c>
      <c r="AX125" s="63" t="str">
        <f t="shared" si="18"/>
        <v>366-Mozambique</v>
      </c>
    </row>
    <row r="126" spans="2:50" ht="15">
      <c r="B126" s="97" t="s">
        <v>1729</v>
      </c>
      <c r="C126" s="97" t="s">
        <v>1730</v>
      </c>
      <c r="D126" s="75" t="str">
        <f t="shared" si="20"/>
        <v>FB-Bolsa flexible para contenedor(flexibag)</v>
      </c>
      <c r="F126" s="39" t="s">
        <v>537</v>
      </c>
      <c r="G126" s="39" t="s">
        <v>1731</v>
      </c>
      <c r="H126" s="40" t="str">
        <f t="shared" si="16"/>
        <v>XOF-Niger, CFA Franc BCEAO</v>
      </c>
      <c r="N126" s="43" t="s">
        <v>1732</v>
      </c>
      <c r="O126" s="44" t="s">
        <v>1733</v>
      </c>
      <c r="P126" s="45" t="str">
        <f t="shared" si="19"/>
        <v>KW-Kuwait</v>
      </c>
      <c r="AE126" s="51"/>
      <c r="AF126" s="52" t="s">
        <v>1734</v>
      </c>
      <c r="AG126" s="52" t="s">
        <v>1734</v>
      </c>
      <c r="AH126" s="53" t="str">
        <f t="shared" si="17"/>
        <v>04082-04082</v>
      </c>
      <c r="AV126" s="100" t="s">
        <v>1735</v>
      </c>
      <c r="AW126" s="62" t="s">
        <v>1736</v>
      </c>
      <c r="AX126" s="63" t="str">
        <f t="shared" si="18"/>
        <v>370-MADAGASKAR</v>
      </c>
    </row>
    <row r="127" spans="2:50" ht="15">
      <c r="B127" s="97" t="s">
        <v>1737</v>
      </c>
      <c r="C127" s="97" t="s">
        <v>1738</v>
      </c>
      <c r="D127" s="75" t="str">
        <f t="shared" si="20"/>
        <v>FC-Fruit crate</v>
      </c>
      <c r="F127" s="39" t="s">
        <v>1739</v>
      </c>
      <c r="G127" s="39" t="s">
        <v>1740</v>
      </c>
      <c r="H127" s="40" t="str">
        <f t="shared" si="16"/>
        <v>NGN-Nigerian Naira</v>
      </c>
      <c r="N127" s="43" t="s">
        <v>1741</v>
      </c>
      <c r="O127" s="44" t="s">
        <v>1742</v>
      </c>
      <c r="P127" s="45" t="str">
        <f t="shared" si="19"/>
        <v>KY-Cayman Is</v>
      </c>
      <c r="AE127" s="51"/>
      <c r="AF127" s="52" t="s">
        <v>1743</v>
      </c>
      <c r="AG127" s="52" t="s">
        <v>1743</v>
      </c>
      <c r="AH127" s="53" t="str">
        <f t="shared" si="17"/>
        <v>04083-04083</v>
      </c>
      <c r="AV127" s="100" t="s">
        <v>1744</v>
      </c>
      <c r="AW127" s="62" t="s">
        <v>1745</v>
      </c>
      <c r="AX127" s="63" t="str">
        <f t="shared" si="18"/>
        <v>373-MAURITIUS</v>
      </c>
    </row>
    <row r="128" spans="2:50" ht="15">
      <c r="B128" s="97" t="s">
        <v>1746</v>
      </c>
      <c r="C128" s="97" t="s">
        <v>1747</v>
      </c>
      <c r="D128" s="75" t="str">
        <f t="shared" si="20"/>
        <v>FD-Framed crate</v>
      </c>
      <c r="F128" s="39" t="s">
        <v>1748</v>
      </c>
      <c r="G128" s="39" t="s">
        <v>1749</v>
      </c>
      <c r="H128" s="40" t="str">
        <f t="shared" si="16"/>
        <v>NIO-Nicaraguan Cordoba Oro</v>
      </c>
      <c r="N128" s="43" t="s">
        <v>1750</v>
      </c>
      <c r="O128" s="44" t="s">
        <v>1751</v>
      </c>
      <c r="P128" s="45" t="str">
        <f t="shared" si="19"/>
        <v>KZ-Kazakhstan</v>
      </c>
      <c r="AE128" s="51"/>
      <c r="AF128" s="52" t="s">
        <v>1752</v>
      </c>
      <c r="AG128" s="52" t="s">
        <v>1752</v>
      </c>
      <c r="AH128" s="53" t="str">
        <f t="shared" si="17"/>
        <v>04091-04091</v>
      </c>
      <c r="AV128" s="100" t="s">
        <v>1753</v>
      </c>
      <c r="AW128" s="62" t="s">
        <v>1754</v>
      </c>
      <c r="AX128" s="63" t="str">
        <f t="shared" si="18"/>
        <v>375-COMORO ISLAND</v>
      </c>
    </row>
    <row r="129" spans="2:50" ht="30">
      <c r="B129" s="97" t="s">
        <v>1755</v>
      </c>
      <c r="C129" s="97" t="s">
        <v>1756</v>
      </c>
      <c r="D129" s="75" t="str">
        <f t="shared" si="20"/>
        <v>FE-Tanque flexible para contenedor(flexitank)</v>
      </c>
      <c r="F129" s="39" t="s">
        <v>1757</v>
      </c>
      <c r="G129" s="39" t="s">
        <v>1758</v>
      </c>
      <c r="H129" s="40" t="str">
        <f t="shared" si="16"/>
        <v>NOK-Norwegian Kroner</v>
      </c>
      <c r="N129" s="43" t="s">
        <v>1759</v>
      </c>
      <c r="O129" s="44" t="s">
        <v>1760</v>
      </c>
      <c r="P129" s="45" t="str">
        <f t="shared" si="19"/>
        <v>LA-Lao</v>
      </c>
      <c r="AE129" s="51"/>
      <c r="AF129" s="52" t="s">
        <v>1761</v>
      </c>
      <c r="AG129" s="52" t="s">
        <v>1761</v>
      </c>
      <c r="AH129" s="53" t="str">
        <f t="shared" si="17"/>
        <v>04101-04101</v>
      </c>
      <c r="AV129" s="100" t="s">
        <v>1762</v>
      </c>
      <c r="AW129" s="62" t="s">
        <v>1763</v>
      </c>
      <c r="AX129" s="63" t="str">
        <f t="shared" si="18"/>
        <v>377-MAYOTTE</v>
      </c>
    </row>
    <row r="130" spans="2:50" ht="30">
      <c r="B130" s="97" t="s">
        <v>1287</v>
      </c>
      <c r="C130" s="97" t="s">
        <v>1764</v>
      </c>
      <c r="D130" s="75" t="str">
        <f t="shared" si="20"/>
        <v>FI-Firkin</v>
      </c>
      <c r="F130" s="39" t="s">
        <v>834</v>
      </c>
      <c r="G130" s="39" t="s">
        <v>1765</v>
      </c>
      <c r="H130" s="40" t="str">
        <f t="shared" ref="H130:H188" si="21">CONCATENATE(F130,"-",G130)</f>
        <v>XAF-Central African Republic, CFA Franc BEAC</v>
      </c>
      <c r="N130" s="43" t="s">
        <v>1766</v>
      </c>
      <c r="O130" s="44" t="s">
        <v>1767</v>
      </c>
      <c r="P130" s="45" t="str">
        <f t="shared" si="19"/>
        <v>LB-Lebanon</v>
      </c>
      <c r="AE130" s="51"/>
      <c r="AF130" s="52" t="s">
        <v>1768</v>
      </c>
      <c r="AG130" s="52" t="s">
        <v>1768</v>
      </c>
      <c r="AH130" s="53" t="str">
        <f t="shared" ref="AH130:AH193" si="22">CONCATENATE(AF130,"-",AG130)</f>
        <v>04102-04102</v>
      </c>
      <c r="AV130" s="100" t="s">
        <v>1769</v>
      </c>
      <c r="AW130" s="62" t="s">
        <v>1770</v>
      </c>
      <c r="AX130" s="63" t="str">
        <f t="shared" si="18"/>
        <v>378-ZAMBIA</v>
      </c>
    </row>
    <row r="131" spans="2:50" ht="15">
      <c r="B131" s="97" t="s">
        <v>1771</v>
      </c>
      <c r="C131" s="97" t="s">
        <v>1772</v>
      </c>
      <c r="D131" s="75" t="str">
        <f t="shared" si="20"/>
        <v>FL-Flask</v>
      </c>
      <c r="F131" s="39" t="s">
        <v>1773</v>
      </c>
      <c r="G131" s="39" t="s">
        <v>1774</v>
      </c>
      <c r="H131" s="40" t="str">
        <f t="shared" si="21"/>
        <v>UZS-Uzbekistan Sum</v>
      </c>
      <c r="N131" s="43" t="s">
        <v>1775</v>
      </c>
      <c r="O131" s="44" t="s">
        <v>1776</v>
      </c>
      <c r="P131" s="45" t="str">
        <f t="shared" si="19"/>
        <v>LC-Saint Lucia</v>
      </c>
      <c r="AE131" s="51"/>
      <c r="AF131" s="52" t="s">
        <v>1777</v>
      </c>
      <c r="AG131" s="52" t="s">
        <v>1777</v>
      </c>
      <c r="AH131" s="53" t="str">
        <f t="shared" si="22"/>
        <v>04111-04111</v>
      </c>
      <c r="AV131" s="100" t="s">
        <v>1778</v>
      </c>
      <c r="AW131" s="62" t="s">
        <v>1779</v>
      </c>
      <c r="AX131" s="63" t="str">
        <f t="shared" ref="AX131:AX194" si="23">CONCATENATE(AV131,"-",AW131)</f>
        <v>382-ZIMBABWE</v>
      </c>
    </row>
    <row r="132" spans="2:50" ht="15">
      <c r="B132" s="97" t="s">
        <v>1320</v>
      </c>
      <c r="C132" s="97" t="s">
        <v>1780</v>
      </c>
      <c r="D132" s="75" t="str">
        <f t="shared" si="20"/>
        <v>FO-Footlocker</v>
      </c>
      <c r="F132" s="39" t="s">
        <v>1781</v>
      </c>
      <c r="G132" s="39" t="s">
        <v>1782</v>
      </c>
      <c r="H132" s="40" t="str">
        <f t="shared" si="21"/>
        <v>PKR-Pakistan Rupee</v>
      </c>
      <c r="N132" s="43" t="s">
        <v>1783</v>
      </c>
      <c r="O132" s="44" t="s">
        <v>1784</v>
      </c>
      <c r="P132" s="45" t="str">
        <f t="shared" si="19"/>
        <v>LI-Liechtenstein</v>
      </c>
      <c r="AE132" s="51"/>
      <c r="AF132" s="52" t="s">
        <v>1785</v>
      </c>
      <c r="AG132" s="52" t="s">
        <v>1785</v>
      </c>
      <c r="AH132" s="53" t="str">
        <f t="shared" si="22"/>
        <v>04112-04112</v>
      </c>
      <c r="AV132" s="100" t="s">
        <v>1786</v>
      </c>
      <c r="AW132" s="62" t="s">
        <v>1787</v>
      </c>
      <c r="AX132" s="63" t="str">
        <f t="shared" si="23"/>
        <v>386-MALAVI</v>
      </c>
    </row>
    <row r="133" spans="2:50" ht="26.25">
      <c r="B133" s="97" t="s">
        <v>1788</v>
      </c>
      <c r="C133" s="97" t="s">
        <v>1789</v>
      </c>
      <c r="D133" s="75" t="str">
        <f t="shared" si="20"/>
        <v>FP-Filmpack</v>
      </c>
      <c r="F133" s="39" t="s">
        <v>1790</v>
      </c>
      <c r="G133" s="39" t="s">
        <v>1791</v>
      </c>
      <c r="H133" s="40" t="str">
        <f t="shared" si="21"/>
        <v>XPD-Palladium (oz.)</v>
      </c>
      <c r="N133" s="43" t="s">
        <v>1792</v>
      </c>
      <c r="O133" s="44" t="s">
        <v>1793</v>
      </c>
      <c r="P133" s="45" t="str">
        <f t="shared" ref="P133:P196" si="24">CONCATENATE(N133,"-",O133)</f>
        <v>LK-Sri Lanka</v>
      </c>
      <c r="AE133" s="51"/>
      <c r="AF133" s="52" t="s">
        <v>1794</v>
      </c>
      <c r="AG133" s="52" t="s">
        <v>1794</v>
      </c>
      <c r="AH133" s="53" t="str">
        <f t="shared" si="22"/>
        <v>04113-04113</v>
      </c>
      <c r="AV133" s="100" t="s">
        <v>1795</v>
      </c>
      <c r="AW133" s="62" t="s">
        <v>1796</v>
      </c>
      <c r="AX133" s="63" t="str">
        <f t="shared" si="23"/>
        <v>388-REPUBLIC OF SOUTH AFRICA</v>
      </c>
    </row>
    <row r="134" spans="2:50" ht="15">
      <c r="B134" s="97" t="s">
        <v>1328</v>
      </c>
      <c r="C134" s="97" t="s">
        <v>1797</v>
      </c>
      <c r="D134" s="75" t="str">
        <f t="shared" si="20"/>
        <v>FR-Frame</v>
      </c>
      <c r="F134" s="39" t="s">
        <v>1798</v>
      </c>
      <c r="G134" s="39" t="s">
        <v>1799</v>
      </c>
      <c r="H134" s="40" t="str">
        <f t="shared" si="21"/>
        <v>PAB-Panamanian Balboa</v>
      </c>
      <c r="N134" s="43" t="s">
        <v>1800</v>
      </c>
      <c r="O134" s="44" t="s">
        <v>1801</v>
      </c>
      <c r="P134" s="45" t="str">
        <f t="shared" si="24"/>
        <v>LR-Liberia</v>
      </c>
      <c r="AE134" s="51"/>
      <c r="AF134" s="52" t="s">
        <v>1802</v>
      </c>
      <c r="AG134" s="52" t="s">
        <v>1802</v>
      </c>
      <c r="AH134" s="53" t="str">
        <f t="shared" si="22"/>
        <v>04115-04115</v>
      </c>
      <c r="AV134" s="100" t="s">
        <v>1803</v>
      </c>
      <c r="AW134" s="62" t="s">
        <v>1804</v>
      </c>
      <c r="AX134" s="63" t="str">
        <f t="shared" si="23"/>
        <v>389-NAMIBIA</v>
      </c>
    </row>
    <row r="135" spans="2:50" ht="15">
      <c r="B135" s="97" t="s">
        <v>1805</v>
      </c>
      <c r="C135" s="97" t="s">
        <v>1806</v>
      </c>
      <c r="D135" s="75" t="str">
        <f t="shared" si="20"/>
        <v>FT-Foodtainer</v>
      </c>
      <c r="F135" s="39" t="s">
        <v>1807</v>
      </c>
      <c r="G135" s="39" t="s">
        <v>1808</v>
      </c>
      <c r="H135" s="40" t="str">
        <f t="shared" si="21"/>
        <v>PGK-Papua New Guinea Kina</v>
      </c>
      <c r="N135" s="43" t="s">
        <v>1809</v>
      </c>
      <c r="O135" s="44" t="s">
        <v>1810</v>
      </c>
      <c r="P135" s="45" t="str">
        <f t="shared" si="24"/>
        <v>LS-Lesotho</v>
      </c>
      <c r="AE135" s="51"/>
      <c r="AF135" s="52" t="s">
        <v>1811</v>
      </c>
      <c r="AG135" s="52" t="s">
        <v>1811</v>
      </c>
      <c r="AH135" s="53" t="str">
        <f t="shared" si="22"/>
        <v>04121-04121</v>
      </c>
      <c r="AV135" s="100" t="s">
        <v>1812</v>
      </c>
      <c r="AW135" s="62" t="s">
        <v>1813</v>
      </c>
      <c r="AX135" s="63" t="str">
        <f t="shared" si="23"/>
        <v>391-BOSTWANA</v>
      </c>
    </row>
    <row r="136" spans="2:50" ht="15">
      <c r="B136" s="97" t="s">
        <v>1814</v>
      </c>
      <c r="C136" s="97" t="s">
        <v>1815</v>
      </c>
      <c r="D136" s="75" t="str">
        <f t="shared" si="20"/>
        <v>FW-Carreta, de plataforma</v>
      </c>
      <c r="F136" s="39" t="s">
        <v>1816</v>
      </c>
      <c r="G136" s="39" t="s">
        <v>1817</v>
      </c>
      <c r="H136" s="40" t="str">
        <f t="shared" si="21"/>
        <v>PYG-Paraguay Guarani</v>
      </c>
      <c r="N136" s="43" t="s">
        <v>1818</v>
      </c>
      <c r="O136" s="44" t="s">
        <v>1819</v>
      </c>
      <c r="P136" s="45" t="str">
        <f t="shared" si="24"/>
        <v>LT-Lithuanian</v>
      </c>
      <c r="AE136" s="51"/>
      <c r="AF136" s="52" t="s">
        <v>1820</v>
      </c>
      <c r="AG136" s="52" t="s">
        <v>1820</v>
      </c>
      <c r="AH136" s="53" t="str">
        <f t="shared" si="22"/>
        <v>05012-05012</v>
      </c>
      <c r="AV136" s="100" t="s">
        <v>1821</v>
      </c>
      <c r="AW136" s="62" t="s">
        <v>1822</v>
      </c>
      <c r="AX136" s="63" t="str">
        <f t="shared" si="23"/>
        <v>393-SVAZILAND</v>
      </c>
    </row>
    <row r="137" spans="2:50" ht="15">
      <c r="B137" s="97" t="s">
        <v>1823</v>
      </c>
      <c r="C137" s="97" t="s">
        <v>1824</v>
      </c>
      <c r="D137" s="75" t="str">
        <f t="shared" si="20"/>
        <v>FX-Bag, flexible container</v>
      </c>
      <c r="F137" s="39" t="s">
        <v>1825</v>
      </c>
      <c r="G137" s="39" t="s">
        <v>1826</v>
      </c>
      <c r="H137" s="40" t="str">
        <f t="shared" si="21"/>
        <v>PEN-Peruvian Nuevo Sol</v>
      </c>
      <c r="N137" s="43" t="s">
        <v>1827</v>
      </c>
      <c r="O137" s="44" t="s">
        <v>1828</v>
      </c>
      <c r="P137" s="45" t="str">
        <f t="shared" si="24"/>
        <v>LU-Luxembourg</v>
      </c>
      <c r="AE137" s="51"/>
      <c r="AF137" s="52" t="s">
        <v>1829</v>
      </c>
      <c r="AG137" s="52" t="s">
        <v>1829</v>
      </c>
      <c r="AH137" s="53" t="str">
        <f t="shared" si="22"/>
        <v>05013-05013</v>
      </c>
      <c r="AV137" s="100" t="s">
        <v>1830</v>
      </c>
      <c r="AW137" s="62" t="s">
        <v>1831</v>
      </c>
      <c r="AX137" s="63" t="str">
        <f t="shared" si="23"/>
        <v>395-LESOTHO</v>
      </c>
    </row>
    <row r="138" spans="2:50" ht="15">
      <c r="B138" s="97" t="s">
        <v>1344</v>
      </c>
      <c r="C138" s="97" t="s">
        <v>1832</v>
      </c>
      <c r="D138" s="75" t="str">
        <f t="shared" si="20"/>
        <v>GB-Gas bottle</v>
      </c>
      <c r="F138" s="39" t="s">
        <v>1833</v>
      </c>
      <c r="G138" s="39" t="s">
        <v>1834</v>
      </c>
      <c r="H138" s="40" t="str">
        <f t="shared" si="21"/>
        <v>XPT-Platinum (oz.)</v>
      </c>
      <c r="N138" s="43" t="s">
        <v>1835</v>
      </c>
      <c r="O138" s="44" t="s">
        <v>1836</v>
      </c>
      <c r="P138" s="45" t="str">
        <f t="shared" si="24"/>
        <v>LV-Latvian</v>
      </c>
      <c r="AE138" s="51"/>
      <c r="AF138" s="52" t="s">
        <v>1837</v>
      </c>
      <c r="AG138" s="52" t="s">
        <v>1837</v>
      </c>
      <c r="AH138" s="53" t="str">
        <f t="shared" si="22"/>
        <v>05014-05014</v>
      </c>
      <c r="AV138" s="100" t="s">
        <v>1838</v>
      </c>
      <c r="AW138" s="62" t="s">
        <v>1839</v>
      </c>
      <c r="AX138" s="63" t="str">
        <f t="shared" si="23"/>
        <v>400-UNITED STATES</v>
      </c>
    </row>
    <row r="139" spans="2:50" ht="15">
      <c r="B139" s="97" t="s">
        <v>1392</v>
      </c>
      <c r="C139" s="97" t="s">
        <v>1840</v>
      </c>
      <c r="D139" s="75" t="str">
        <f t="shared" si="20"/>
        <v>GI-Girder</v>
      </c>
      <c r="F139" s="39" t="s">
        <v>1841</v>
      </c>
      <c r="G139" s="39" t="s">
        <v>1842</v>
      </c>
      <c r="H139" s="40" t="str">
        <f t="shared" si="21"/>
        <v>PLN-Zloty</v>
      </c>
      <c r="N139" s="43" t="s">
        <v>1843</v>
      </c>
      <c r="O139" s="44" t="s">
        <v>1844</v>
      </c>
      <c r="P139" s="45" t="str">
        <f t="shared" si="24"/>
        <v>LY-Libyan Arab Jamahiriya</v>
      </c>
      <c r="AE139" s="51"/>
      <c r="AF139" s="52" t="s">
        <v>1845</v>
      </c>
      <c r="AG139" s="52" t="s">
        <v>1845</v>
      </c>
      <c r="AH139" s="53" t="str">
        <f t="shared" si="22"/>
        <v>05019-05019</v>
      </c>
      <c r="AV139" s="100" t="s">
        <v>1846</v>
      </c>
      <c r="AW139" s="62" t="s">
        <v>1847</v>
      </c>
      <c r="AX139" s="63" t="str">
        <f t="shared" si="23"/>
        <v>404-CANADA</v>
      </c>
    </row>
    <row r="140" spans="2:50" ht="15">
      <c r="B140" s="97" t="s">
        <v>1401</v>
      </c>
      <c r="C140" s="97" t="s">
        <v>1848</v>
      </c>
      <c r="D140" s="75" t="str">
        <f t="shared" si="20"/>
        <v>GL-Contenedor de un galón</v>
      </c>
      <c r="F140" s="39" t="s">
        <v>1849</v>
      </c>
      <c r="G140" s="39" t="s">
        <v>1850</v>
      </c>
      <c r="H140" s="40" t="str">
        <f t="shared" si="21"/>
        <v>RWF-Rwanda Franc</v>
      </c>
      <c r="N140" s="43" t="s">
        <v>1851</v>
      </c>
      <c r="O140" s="44" t="s">
        <v>1852</v>
      </c>
      <c r="P140" s="45" t="str">
        <f t="shared" si="24"/>
        <v>MA-Morocco</v>
      </c>
      <c r="AE140" s="51"/>
      <c r="AF140" s="52" t="s">
        <v>1853</v>
      </c>
      <c r="AG140" s="52" t="s">
        <v>1853</v>
      </c>
      <c r="AH140" s="53" t="str">
        <f t="shared" si="22"/>
        <v>05020-05020</v>
      </c>
      <c r="AV140" s="100" t="s">
        <v>1854</v>
      </c>
      <c r="AW140" s="62" t="s">
        <v>1855</v>
      </c>
      <c r="AX140" s="63" t="str">
        <f t="shared" si="23"/>
        <v>406-GREENLAND</v>
      </c>
    </row>
    <row r="141" spans="2:50" ht="15">
      <c r="B141" s="97" t="s">
        <v>1443</v>
      </c>
      <c r="C141" s="97" t="s">
        <v>1856</v>
      </c>
      <c r="D141" s="75" t="str">
        <f t="shared" si="20"/>
        <v>GR-Receptacle, glass</v>
      </c>
      <c r="F141" s="39" t="s">
        <v>1857</v>
      </c>
      <c r="G141" s="39" t="s">
        <v>1858</v>
      </c>
      <c r="H141" s="40" t="str">
        <f t="shared" si="21"/>
        <v>RUB-Russian Rouble</v>
      </c>
      <c r="N141" s="43" t="s">
        <v>1859</v>
      </c>
      <c r="O141" s="44" t="s">
        <v>1860</v>
      </c>
      <c r="P141" s="45" t="str">
        <f t="shared" si="24"/>
        <v>MC-Monaco</v>
      </c>
      <c r="AE141" s="51"/>
      <c r="AF141" s="52" t="s">
        <v>1861</v>
      </c>
      <c r="AG141" s="52" t="s">
        <v>1861</v>
      </c>
      <c r="AH141" s="53" t="str">
        <f t="shared" si="22"/>
        <v>05022-05022</v>
      </c>
      <c r="AV141" s="100" t="s">
        <v>1862</v>
      </c>
      <c r="AW141" s="62" t="s">
        <v>1863</v>
      </c>
      <c r="AX141" s="63" t="str">
        <f t="shared" si="23"/>
        <v>408-ST. PİERRE VE MİQUELON</v>
      </c>
    </row>
    <row r="142" spans="2:50" ht="30">
      <c r="B142" s="97" t="s">
        <v>1468</v>
      </c>
      <c r="C142" s="97" t="s">
        <v>1864</v>
      </c>
      <c r="D142" s="75" t="str">
        <f t="shared" si="20"/>
        <v>GU-Bandeja contenedora conartículos planos apilados</v>
      </c>
      <c r="F142" s="39" t="s">
        <v>1865</v>
      </c>
      <c r="G142" s="39" t="s">
        <v>1866</v>
      </c>
      <c r="H142" s="40" t="str">
        <f t="shared" si="21"/>
        <v>WST-Samoan Tala</v>
      </c>
      <c r="N142" s="43" t="s">
        <v>1867</v>
      </c>
      <c r="O142" s="44" t="s">
        <v>1868</v>
      </c>
      <c r="P142" s="45" t="str">
        <f t="shared" si="24"/>
        <v>MD-Moldova, Republic of</v>
      </c>
      <c r="AE142" s="51"/>
      <c r="AF142" s="52" t="s">
        <v>1869</v>
      </c>
      <c r="AG142" s="52" t="s">
        <v>1869</v>
      </c>
      <c r="AH142" s="53" t="str">
        <f t="shared" si="22"/>
        <v>05023-05023</v>
      </c>
      <c r="AV142" s="100" t="s">
        <v>1870</v>
      </c>
      <c r="AW142" s="62" t="s">
        <v>1871</v>
      </c>
      <c r="AX142" s="63" t="str">
        <f t="shared" si="23"/>
        <v>412-MEXICO</v>
      </c>
    </row>
    <row r="143" spans="2:50" ht="30">
      <c r="B143" s="97" t="s">
        <v>1484</v>
      </c>
      <c r="C143" s="97" t="s">
        <v>1872</v>
      </c>
      <c r="D143" s="75" t="str">
        <f t="shared" si="20"/>
        <v>GY-Saco de yute o arpillera</v>
      </c>
      <c r="F143" s="39" t="s">
        <v>1873</v>
      </c>
      <c r="G143" s="39" t="s">
        <v>1874</v>
      </c>
      <c r="H143" s="40" t="str">
        <f t="shared" si="21"/>
        <v>STD-Sao Tome and Principe Dobra</v>
      </c>
      <c r="N143" s="43" t="s">
        <v>1875</v>
      </c>
      <c r="O143" s="44" t="s">
        <v>1876</v>
      </c>
      <c r="P143" s="45" t="str">
        <f t="shared" si="24"/>
        <v>ME-Montenegro</v>
      </c>
      <c r="AE143" s="51"/>
      <c r="AF143" s="52" t="s">
        <v>1877</v>
      </c>
      <c r="AG143" s="52" t="s">
        <v>1877</v>
      </c>
      <c r="AH143" s="53" t="str">
        <f t="shared" si="22"/>
        <v>05024-05024</v>
      </c>
      <c r="AV143" s="100" t="s">
        <v>1878</v>
      </c>
      <c r="AW143" s="62" t="s">
        <v>1879</v>
      </c>
      <c r="AX143" s="63" t="str">
        <f t="shared" si="23"/>
        <v>413-BERMUDA</v>
      </c>
    </row>
    <row r="144" spans="2:50" ht="15">
      <c r="B144" s="97" t="s">
        <v>1880</v>
      </c>
      <c r="C144" s="97" t="s">
        <v>1881</v>
      </c>
      <c r="D144" s="75" t="str">
        <f t="shared" si="20"/>
        <v>GZ-Girders, in bundle/bunch/truss</v>
      </c>
      <c r="F144" s="39" t="s">
        <v>537</v>
      </c>
      <c r="G144" s="39" t="s">
        <v>1882</v>
      </c>
      <c r="H144" s="40" t="str">
        <f t="shared" si="21"/>
        <v>XOF-Senegal, CFA Franc BCEAO</v>
      </c>
      <c r="N144" s="43" t="s">
        <v>1883</v>
      </c>
      <c r="O144" s="44" t="s">
        <v>1884</v>
      </c>
      <c r="P144" s="45" t="str">
        <f t="shared" si="24"/>
        <v>MF-Saint Martin (French part)</v>
      </c>
      <c r="AE144" s="51"/>
      <c r="AF144" s="52" t="s">
        <v>1885</v>
      </c>
      <c r="AG144" s="52" t="s">
        <v>1885</v>
      </c>
      <c r="AH144" s="53" t="str">
        <f t="shared" si="22"/>
        <v>05025-05025</v>
      </c>
      <c r="AV144" s="100" t="s">
        <v>1886</v>
      </c>
      <c r="AW144" s="62" t="s">
        <v>1887</v>
      </c>
      <c r="AX144" s="63" t="str">
        <f t="shared" si="23"/>
        <v>416-GUATEMALA</v>
      </c>
    </row>
    <row r="145" spans="2:50" ht="15">
      <c r="B145" s="97" t="s">
        <v>1888</v>
      </c>
      <c r="C145" s="97" t="s">
        <v>1889</v>
      </c>
      <c r="D145" s="75" t="str">
        <f t="shared" si="20"/>
        <v>HA-Basket, with handle, plastic</v>
      </c>
      <c r="F145" s="39" t="s">
        <v>1890</v>
      </c>
      <c r="G145" s="39" t="s">
        <v>1891</v>
      </c>
      <c r="H145" s="40" t="str">
        <f t="shared" si="21"/>
        <v>SCR-Seychelles Rupee</v>
      </c>
      <c r="N145" s="43" t="s">
        <v>1892</v>
      </c>
      <c r="O145" s="44" t="s">
        <v>1893</v>
      </c>
      <c r="P145" s="45" t="str">
        <f t="shared" si="24"/>
        <v>MG-Madagascar</v>
      </c>
      <c r="AE145" s="51"/>
      <c r="AF145" s="52" t="s">
        <v>1894</v>
      </c>
      <c r="AG145" s="52" t="s">
        <v>1894</v>
      </c>
      <c r="AH145" s="53" t="str">
        <f t="shared" si="22"/>
        <v>05026-05026</v>
      </c>
      <c r="AV145" s="100" t="s">
        <v>1895</v>
      </c>
      <c r="AW145" s="62" t="s">
        <v>1896</v>
      </c>
      <c r="AX145" s="63" t="str">
        <f t="shared" si="23"/>
        <v>421-BELIZE</v>
      </c>
    </row>
    <row r="146" spans="2:50" ht="15">
      <c r="B146" s="97" t="s">
        <v>1897</v>
      </c>
      <c r="C146" s="97" t="s">
        <v>1898</v>
      </c>
      <c r="D146" s="75" t="str">
        <f t="shared" si="20"/>
        <v>HB-Basket, with handle, wooden</v>
      </c>
      <c r="F146" s="39" t="s">
        <v>1899</v>
      </c>
      <c r="G146" s="39" t="s">
        <v>1900</v>
      </c>
      <c r="H146" s="40" t="str">
        <f t="shared" si="21"/>
        <v>RSD-Serbian Dinar </v>
      </c>
      <c r="N146" s="43" t="s">
        <v>1901</v>
      </c>
      <c r="O146" s="44" t="s">
        <v>1902</v>
      </c>
      <c r="P146" s="45" t="str">
        <f t="shared" si="24"/>
        <v>MH-Marshall Is</v>
      </c>
      <c r="AE146" s="51"/>
      <c r="AF146" s="52" t="s">
        <v>1903</v>
      </c>
      <c r="AG146" s="52" t="s">
        <v>1903</v>
      </c>
      <c r="AH146" s="53" t="str">
        <f t="shared" si="22"/>
        <v>05027-05027</v>
      </c>
      <c r="AV146" s="100" t="s">
        <v>1904</v>
      </c>
      <c r="AW146" s="62" t="s">
        <v>1905</v>
      </c>
      <c r="AX146" s="63" t="str">
        <f t="shared" si="23"/>
        <v>424-HONDURAS</v>
      </c>
    </row>
    <row r="147" spans="2:50" ht="15">
      <c r="B147" s="97" t="s">
        <v>1906</v>
      </c>
      <c r="C147" s="97" t="s">
        <v>1907</v>
      </c>
      <c r="D147" s="75" t="str">
        <f t="shared" si="20"/>
        <v>HC-Basket, with handle, cardboard</v>
      </c>
      <c r="F147" s="39" t="s">
        <v>1908</v>
      </c>
      <c r="G147" s="39" t="s">
        <v>1909</v>
      </c>
      <c r="H147" s="40" t="str">
        <f t="shared" si="21"/>
        <v>SLL-Sierra Leone Leone</v>
      </c>
      <c r="N147" s="43" t="s">
        <v>1910</v>
      </c>
      <c r="O147" s="44" t="s">
        <v>1911</v>
      </c>
      <c r="P147" s="45" t="str">
        <f t="shared" si="24"/>
        <v>MK-Macedonia</v>
      </c>
      <c r="AE147" s="51"/>
      <c r="AF147" s="52" t="s">
        <v>1912</v>
      </c>
      <c r="AG147" s="52" t="s">
        <v>1912</v>
      </c>
      <c r="AH147" s="53" t="str">
        <f t="shared" si="22"/>
        <v>05028-05028</v>
      </c>
      <c r="AV147" s="100" t="s">
        <v>1913</v>
      </c>
      <c r="AW147" s="62" t="s">
        <v>1914</v>
      </c>
      <c r="AX147" s="63" t="str">
        <f t="shared" si="23"/>
        <v>428-EL SALVADOR</v>
      </c>
    </row>
    <row r="148" spans="2:50" ht="15">
      <c r="B148" s="97" t="s">
        <v>1915</v>
      </c>
      <c r="C148" s="97" t="s">
        <v>1916</v>
      </c>
      <c r="D148" s="75" t="str">
        <f t="shared" si="20"/>
        <v>HG-Hogshead</v>
      </c>
      <c r="F148" s="39" t="s">
        <v>1917</v>
      </c>
      <c r="G148" s="39" t="s">
        <v>1918</v>
      </c>
      <c r="H148" s="40" t="str">
        <f t="shared" si="21"/>
        <v>SGD-Singapore Dollar</v>
      </c>
      <c r="N148" s="43" t="s">
        <v>1919</v>
      </c>
      <c r="O148" s="44" t="s">
        <v>1920</v>
      </c>
      <c r="P148" s="45" t="str">
        <f t="shared" si="24"/>
        <v>ML-Mali</v>
      </c>
      <c r="AE148" s="51"/>
      <c r="AF148" s="52" t="s">
        <v>1921</v>
      </c>
      <c r="AG148" s="52" t="s">
        <v>1921</v>
      </c>
      <c r="AH148" s="53" t="str">
        <f t="shared" si="22"/>
        <v>05031-05031</v>
      </c>
      <c r="AV148" s="100" t="s">
        <v>1922</v>
      </c>
      <c r="AW148" s="62" t="s">
        <v>1923</v>
      </c>
      <c r="AX148" s="63" t="str">
        <f t="shared" si="23"/>
        <v>432-NIKARAGUA</v>
      </c>
    </row>
    <row r="149" spans="2:50" ht="15">
      <c r="B149" s="97" t="s">
        <v>1511</v>
      </c>
      <c r="C149" s="97" t="s">
        <v>1924</v>
      </c>
      <c r="D149" s="75" t="str">
        <f t="shared" si="20"/>
        <v>HN-Gancho (hanger)</v>
      </c>
      <c r="F149" s="39" t="s">
        <v>1925</v>
      </c>
      <c r="G149" s="39" t="s">
        <v>1926</v>
      </c>
      <c r="H149" s="40" t="str">
        <f t="shared" si="21"/>
        <v>SBD-Solomon Islands Dollar</v>
      </c>
      <c r="N149" s="43" t="s">
        <v>1927</v>
      </c>
      <c r="O149" s="44" t="s">
        <v>1928</v>
      </c>
      <c r="P149" s="45" t="str">
        <f t="shared" si="24"/>
        <v>MM-Myanmar</v>
      </c>
      <c r="AE149" s="51"/>
      <c r="AF149" s="52" t="s">
        <v>1929</v>
      </c>
      <c r="AG149" s="52" t="s">
        <v>1929</v>
      </c>
      <c r="AH149" s="53" t="str">
        <f t="shared" si="22"/>
        <v>05999-05999</v>
      </c>
      <c r="AV149" s="100" t="s">
        <v>1930</v>
      </c>
      <c r="AW149" s="62" t="s">
        <v>1931</v>
      </c>
      <c r="AX149" s="63" t="str">
        <f t="shared" si="23"/>
        <v>436-COSTA RICA</v>
      </c>
    </row>
    <row r="150" spans="2:50" ht="15">
      <c r="B150" s="97" t="s">
        <v>1520</v>
      </c>
      <c r="C150" s="97" t="s">
        <v>1932</v>
      </c>
      <c r="D150" s="75" t="str">
        <f t="shared" si="20"/>
        <v>HR-Hamper</v>
      </c>
      <c r="F150" s="39" t="s">
        <v>1933</v>
      </c>
      <c r="G150" s="39" t="s">
        <v>1934</v>
      </c>
      <c r="H150" s="40" t="str">
        <f t="shared" si="21"/>
        <v>SOS-Somali Schilling</v>
      </c>
      <c r="N150" s="43" t="s">
        <v>1935</v>
      </c>
      <c r="O150" s="44" t="s">
        <v>1936</v>
      </c>
      <c r="P150" s="45" t="str">
        <f t="shared" si="24"/>
        <v>MN-Mongolia</v>
      </c>
      <c r="AE150" s="51"/>
      <c r="AF150" s="52" t="s">
        <v>1937</v>
      </c>
      <c r="AG150" s="52" t="s">
        <v>1937</v>
      </c>
      <c r="AH150" s="53" t="str">
        <f t="shared" si="22"/>
        <v>07011-07011</v>
      </c>
      <c r="AV150" s="100" t="s">
        <v>1938</v>
      </c>
      <c r="AW150" s="62" t="s">
        <v>1939</v>
      </c>
      <c r="AX150" s="63" t="str">
        <f t="shared" si="23"/>
        <v>442-PANAMA</v>
      </c>
    </row>
    <row r="151" spans="2:50" ht="15">
      <c r="B151" s="97" t="s">
        <v>1940</v>
      </c>
      <c r="C151" s="97" t="s">
        <v>1941</v>
      </c>
      <c r="D151" s="75" t="str">
        <f t="shared" si="20"/>
        <v>IA-Package, display, wooden</v>
      </c>
      <c r="F151" s="39" t="s">
        <v>1942</v>
      </c>
      <c r="G151" s="39" t="s">
        <v>1943</v>
      </c>
      <c r="H151" s="40" t="str">
        <f t="shared" si="21"/>
        <v>LKR-Sri Lanka Rupee</v>
      </c>
      <c r="N151" s="43" t="s">
        <v>1944</v>
      </c>
      <c r="O151" s="44" t="s">
        <v>1945</v>
      </c>
      <c r="P151" s="45" t="str">
        <f t="shared" si="24"/>
        <v>MO-Macao</v>
      </c>
      <c r="AE151" s="51"/>
      <c r="AF151" s="52" t="s">
        <v>1946</v>
      </c>
      <c r="AG151" s="52" t="s">
        <v>1946</v>
      </c>
      <c r="AH151" s="53" t="str">
        <f t="shared" si="22"/>
        <v>07012-07012</v>
      </c>
      <c r="AV151" s="100" t="s">
        <v>1947</v>
      </c>
      <c r="AW151" s="62" t="s">
        <v>1948</v>
      </c>
      <c r="AX151" s="63" t="str">
        <f t="shared" si="23"/>
        <v>446-ANGUILLA</v>
      </c>
    </row>
    <row r="152" spans="2:50" ht="15">
      <c r="B152" s="97" t="s">
        <v>1949</v>
      </c>
      <c r="C152" s="97" t="s">
        <v>1950</v>
      </c>
      <c r="D152" s="75" t="str">
        <f t="shared" si="20"/>
        <v>IB-Package, display, cardboard</v>
      </c>
      <c r="F152" s="39" t="s">
        <v>1951</v>
      </c>
      <c r="G152" s="39" t="s">
        <v>1952</v>
      </c>
      <c r="H152" s="40" t="str">
        <f t="shared" si="21"/>
        <v>SHP-St. Helena Pound</v>
      </c>
      <c r="N152" s="43" t="s">
        <v>1953</v>
      </c>
      <c r="O152" s="44" t="s">
        <v>1954</v>
      </c>
      <c r="P152" s="45" t="str">
        <f t="shared" si="24"/>
        <v>MP-N Mariana Is</v>
      </c>
      <c r="AE152" s="51"/>
      <c r="AF152" s="52" t="s">
        <v>1955</v>
      </c>
      <c r="AG152" s="52" t="s">
        <v>1955</v>
      </c>
      <c r="AH152" s="53" t="str">
        <f t="shared" si="22"/>
        <v>07013-07013</v>
      </c>
      <c r="AV152" s="100" t="s">
        <v>1956</v>
      </c>
      <c r="AW152" s="62" t="s">
        <v>1957</v>
      </c>
      <c r="AX152" s="63" t="str">
        <f t="shared" si="23"/>
        <v>448-CUBA</v>
      </c>
    </row>
    <row r="153" spans="2:50" ht="15">
      <c r="B153" s="97" t="s">
        <v>1958</v>
      </c>
      <c r="C153" s="97" t="s">
        <v>1959</v>
      </c>
      <c r="D153" s="75" t="str">
        <f t="shared" si="20"/>
        <v>IC-Package, display, plastic</v>
      </c>
      <c r="F153" s="39" t="s">
        <v>246</v>
      </c>
      <c r="G153" s="39" t="s">
        <v>247</v>
      </c>
      <c r="H153" s="40" t="str">
        <f t="shared" si="21"/>
        <v>XCD-East Carribbean Dollar</v>
      </c>
      <c r="N153" s="43" t="s">
        <v>1960</v>
      </c>
      <c r="O153" s="44" t="s">
        <v>1961</v>
      </c>
      <c r="P153" s="45" t="str">
        <f t="shared" si="24"/>
        <v>MQ-Martinique</v>
      </c>
      <c r="AE153" s="51"/>
      <c r="AF153" s="52" t="s">
        <v>1962</v>
      </c>
      <c r="AG153" s="52" t="s">
        <v>1962</v>
      </c>
      <c r="AH153" s="53" t="str">
        <f t="shared" si="22"/>
        <v>07014-07014</v>
      </c>
      <c r="AV153" s="100" t="s">
        <v>1963</v>
      </c>
      <c r="AW153" s="62" t="s">
        <v>1964</v>
      </c>
      <c r="AX153" s="63" t="str">
        <f t="shared" si="23"/>
        <v>449-ST. KİTTS ve NEVİS</v>
      </c>
    </row>
    <row r="154" spans="2:50" ht="15">
      <c r="B154" s="97" t="s">
        <v>1546</v>
      </c>
      <c r="C154" s="97" t="s">
        <v>1965</v>
      </c>
      <c r="D154" s="75" t="str">
        <f t="shared" si="20"/>
        <v>ID-Package, display, metal</v>
      </c>
      <c r="F154" s="39" t="s">
        <v>246</v>
      </c>
      <c r="G154" s="39" t="s">
        <v>247</v>
      </c>
      <c r="H154" s="40" t="str">
        <f t="shared" si="21"/>
        <v>XCD-East Carribbean Dollar</v>
      </c>
      <c r="N154" s="43" t="s">
        <v>1966</v>
      </c>
      <c r="O154" s="44" t="s">
        <v>1967</v>
      </c>
      <c r="P154" s="45" t="str">
        <f t="shared" si="24"/>
        <v>MR-Mauritania</v>
      </c>
      <c r="AE154" s="51"/>
      <c r="AF154" s="52" t="s">
        <v>1968</v>
      </c>
      <c r="AG154" s="52" t="s">
        <v>1968</v>
      </c>
      <c r="AH154" s="53" t="str">
        <f t="shared" si="22"/>
        <v>07015-07015</v>
      </c>
      <c r="AV154" s="100" t="s">
        <v>1969</v>
      </c>
      <c r="AW154" s="62" t="s">
        <v>1970</v>
      </c>
      <c r="AX154" s="63" t="str">
        <f t="shared" si="23"/>
        <v>452-HAİTİ</v>
      </c>
    </row>
    <row r="155" spans="2:50" ht="15">
      <c r="B155" s="97" t="s">
        <v>1554</v>
      </c>
      <c r="C155" s="97" t="s">
        <v>1971</v>
      </c>
      <c r="D155" s="75" t="str">
        <f t="shared" si="20"/>
        <v>IE-Package, show</v>
      </c>
      <c r="F155" s="39" t="s">
        <v>246</v>
      </c>
      <c r="G155" s="39" t="s">
        <v>247</v>
      </c>
      <c r="H155" s="40" t="str">
        <f t="shared" si="21"/>
        <v>XCD-East Carribbean Dollar</v>
      </c>
      <c r="N155" s="43" t="s">
        <v>1972</v>
      </c>
      <c r="O155" s="44" t="s">
        <v>1973</v>
      </c>
      <c r="P155" s="45" t="str">
        <f t="shared" si="24"/>
        <v>MS-Montserrat</v>
      </c>
      <c r="AE155" s="51"/>
      <c r="AF155" s="52" t="s">
        <v>1974</v>
      </c>
      <c r="AG155" s="52" t="s">
        <v>1974</v>
      </c>
      <c r="AH155" s="53" t="str">
        <f t="shared" si="22"/>
        <v>07016-07016</v>
      </c>
      <c r="AV155" s="100" t="s">
        <v>1975</v>
      </c>
      <c r="AW155" s="62" t="s">
        <v>1976</v>
      </c>
      <c r="AX155" s="63" t="str">
        <f t="shared" si="23"/>
        <v>453-BAHAMAS</v>
      </c>
    </row>
    <row r="156" spans="2:50" ht="15">
      <c r="B156" s="97" t="s">
        <v>1977</v>
      </c>
      <c r="C156" s="97" t="s">
        <v>1978</v>
      </c>
      <c r="D156" s="75" t="str">
        <f t="shared" si="20"/>
        <v>IF-Package, flow</v>
      </c>
      <c r="F156" s="39" t="s">
        <v>1979</v>
      </c>
      <c r="G156" s="39" t="s">
        <v>1980</v>
      </c>
      <c r="H156" s="40" t="str">
        <f t="shared" si="21"/>
        <v>SDG-Sudanese Dinar</v>
      </c>
      <c r="N156" s="43" t="s">
        <v>1981</v>
      </c>
      <c r="O156" s="44" t="s">
        <v>1982</v>
      </c>
      <c r="P156" s="45" t="str">
        <f t="shared" si="24"/>
        <v>MT-Maltese</v>
      </c>
      <c r="AE156" s="51"/>
      <c r="AF156" s="52" t="s">
        <v>1983</v>
      </c>
      <c r="AG156" s="52" t="s">
        <v>1983</v>
      </c>
      <c r="AH156" s="53" t="str">
        <f t="shared" si="22"/>
        <v>07017-07017</v>
      </c>
      <c r="AV156" s="100" t="s">
        <v>1984</v>
      </c>
      <c r="AW156" s="62" t="s">
        <v>1985</v>
      </c>
      <c r="AX156" s="63" t="str">
        <f t="shared" si="23"/>
        <v>454-TURKS VE CAİCOS ISLAND</v>
      </c>
    </row>
    <row r="157" spans="2:50" ht="15">
      <c r="B157" s="97" t="s">
        <v>1986</v>
      </c>
      <c r="C157" s="97" t="s">
        <v>1987</v>
      </c>
      <c r="D157" s="75" t="str">
        <f t="shared" si="20"/>
        <v>IG-Package, paper-wrapped</v>
      </c>
      <c r="F157" s="39" t="s">
        <v>1988</v>
      </c>
      <c r="G157" s="39" t="s">
        <v>1989</v>
      </c>
      <c r="H157" s="40" t="str">
        <f t="shared" si="21"/>
        <v>SRD-Surinam Dollar</v>
      </c>
      <c r="N157" s="43" t="s">
        <v>1990</v>
      </c>
      <c r="O157" s="44" t="s">
        <v>1991</v>
      </c>
      <c r="P157" s="45" t="str">
        <f t="shared" si="24"/>
        <v>MU-Mauritius</v>
      </c>
      <c r="AE157" s="51"/>
      <c r="AF157" s="52" t="s">
        <v>1992</v>
      </c>
      <c r="AG157" s="52" t="s">
        <v>1992</v>
      </c>
      <c r="AH157" s="53" t="str">
        <f t="shared" si="22"/>
        <v>07021-07021</v>
      </c>
      <c r="AV157" s="100" t="s">
        <v>1993</v>
      </c>
      <c r="AW157" s="62" t="s">
        <v>1994</v>
      </c>
      <c r="AX157" s="63" t="str">
        <f t="shared" si="23"/>
        <v>456-DOMINICAN REPUBLIC</v>
      </c>
    </row>
    <row r="158" spans="2:50" ht="15">
      <c r="B158" s="97" t="s">
        <v>1995</v>
      </c>
      <c r="C158" s="97" t="s">
        <v>1996</v>
      </c>
      <c r="D158" s="75" t="str">
        <f t="shared" si="20"/>
        <v>IH-Drum, plastic</v>
      </c>
      <c r="F158" s="39" t="s">
        <v>1997</v>
      </c>
      <c r="G158" s="39" t="s">
        <v>1998</v>
      </c>
      <c r="H158" s="40" t="str">
        <f t="shared" si="21"/>
        <v>SYP-Syrian Pound</v>
      </c>
      <c r="N158" s="43" t="s">
        <v>1999</v>
      </c>
      <c r="O158" s="44" t="s">
        <v>2000</v>
      </c>
      <c r="P158" s="45" t="str">
        <f t="shared" si="24"/>
        <v>MV-Maldives</v>
      </c>
      <c r="AE158" s="51"/>
      <c r="AF158" s="52" t="s">
        <v>2001</v>
      </c>
      <c r="AG158" s="52" t="s">
        <v>2001</v>
      </c>
      <c r="AH158" s="53" t="str">
        <f t="shared" si="22"/>
        <v>07022-07022</v>
      </c>
      <c r="AV158" s="100" t="s">
        <v>2002</v>
      </c>
      <c r="AW158" s="62" t="s">
        <v>2003</v>
      </c>
      <c r="AX158" s="63" t="str">
        <f t="shared" si="23"/>
        <v>457-USA VIRGIN ISLAND</v>
      </c>
    </row>
    <row r="159" spans="2:50" ht="30">
      <c r="B159" s="97" t="s">
        <v>2004</v>
      </c>
      <c r="C159" s="97" t="s">
        <v>2005</v>
      </c>
      <c r="D159" s="75" t="str">
        <f t="shared" ref="D159:D222" si="25">CONCATENATE(B159,"-",C159)</f>
        <v>IK-Package, cardboard, with bottle grip-holes</v>
      </c>
      <c r="F159" s="39" t="s">
        <v>2006</v>
      </c>
      <c r="G159" s="39" t="s">
        <v>2007</v>
      </c>
      <c r="H159" s="40" t="str">
        <f t="shared" si="21"/>
        <v>SAR-Saudi Riyal</v>
      </c>
      <c r="N159" s="43" t="s">
        <v>2008</v>
      </c>
      <c r="O159" s="44" t="s">
        <v>2009</v>
      </c>
      <c r="P159" s="45" t="str">
        <f t="shared" si="24"/>
        <v>MW-Malawi</v>
      </c>
      <c r="AE159" s="51"/>
      <c r="AF159" s="52" t="s">
        <v>2010</v>
      </c>
      <c r="AG159" s="52" t="s">
        <v>2010</v>
      </c>
      <c r="AH159" s="53" t="str">
        <f t="shared" si="22"/>
        <v>07031-07031</v>
      </c>
      <c r="AV159" s="100" t="s">
        <v>2011</v>
      </c>
      <c r="AW159" s="62" t="s">
        <v>2012</v>
      </c>
      <c r="AX159" s="63" t="str">
        <f t="shared" si="23"/>
        <v>459-ANTIGUA AND BERMUDA</v>
      </c>
    </row>
    <row r="160" spans="2:50" ht="30">
      <c r="B160" s="97" t="s">
        <v>1563</v>
      </c>
      <c r="C160" s="97" t="s">
        <v>2013</v>
      </c>
      <c r="D160" s="75" t="str">
        <f t="shared" si="25"/>
        <v>IL-Bandeja rígida, con tapa, apilable (CEN TS 14482:2002)</v>
      </c>
      <c r="F160" s="39" t="s">
        <v>2014</v>
      </c>
      <c r="G160" s="39" t="s">
        <v>2015</v>
      </c>
      <c r="H160" s="40" t="str">
        <f t="shared" si="21"/>
        <v>SZL-Swaziland Lilangeni</v>
      </c>
      <c r="N160" s="43" t="s">
        <v>2016</v>
      </c>
      <c r="O160" s="44" t="s">
        <v>2017</v>
      </c>
      <c r="P160" s="45" t="str">
        <f t="shared" si="24"/>
        <v>MX-Mexico</v>
      </c>
      <c r="AE160" s="51"/>
      <c r="AF160" s="52" t="s">
        <v>2018</v>
      </c>
      <c r="AG160" s="52" t="s">
        <v>2018</v>
      </c>
      <c r="AH160" s="53" t="str">
        <f t="shared" si="22"/>
        <v>07032-07032</v>
      </c>
      <c r="AV160" s="100" t="s">
        <v>2019</v>
      </c>
      <c r="AW160" s="62" t="s">
        <v>2020</v>
      </c>
      <c r="AX160" s="63" t="str">
        <f t="shared" si="23"/>
        <v>460-DOMINICA</v>
      </c>
    </row>
    <row r="161" spans="2:50" ht="15">
      <c r="B161" s="97" t="s">
        <v>1580</v>
      </c>
      <c r="C161" s="97" t="s">
        <v>2021</v>
      </c>
      <c r="D161" s="75" t="str">
        <f t="shared" si="25"/>
        <v>IN-Ingot</v>
      </c>
      <c r="F161" s="39" t="s">
        <v>2022</v>
      </c>
      <c r="G161" s="39" t="s">
        <v>2023</v>
      </c>
      <c r="H161" s="40" t="str">
        <f t="shared" si="21"/>
        <v>CLP-Chilean Peso</v>
      </c>
      <c r="N161" s="43" t="s">
        <v>2024</v>
      </c>
      <c r="O161" s="44" t="s">
        <v>2025</v>
      </c>
      <c r="P161" s="45" t="str">
        <f t="shared" si="24"/>
        <v>MY-Malaysia</v>
      </c>
      <c r="AE161" s="51"/>
      <c r="AF161" s="52" t="s">
        <v>2026</v>
      </c>
      <c r="AG161" s="52" t="s">
        <v>2026</v>
      </c>
      <c r="AH161" s="53" t="str">
        <f t="shared" si="22"/>
        <v>07033-07033</v>
      </c>
      <c r="AV161" s="100" t="s">
        <v>2027</v>
      </c>
      <c r="AW161" s="62" t="s">
        <v>2028</v>
      </c>
      <c r="AX161" s="63" t="str">
        <f t="shared" si="23"/>
        <v>463-CAYMAN ISLAND</v>
      </c>
    </row>
    <row r="162" spans="2:50" ht="15">
      <c r="B162" s="97" t="s">
        <v>2029</v>
      </c>
      <c r="C162" s="97" t="s">
        <v>2030</v>
      </c>
      <c r="D162" s="75" t="str">
        <f t="shared" si="25"/>
        <v>IZ-Ingots, in bundle/bunch/truss</v>
      </c>
      <c r="F162" s="39" t="s">
        <v>2031</v>
      </c>
      <c r="G162" s="39" t="s">
        <v>2032</v>
      </c>
      <c r="H162" s="40" t="str">
        <f t="shared" si="21"/>
        <v>TJS-Somoni</v>
      </c>
      <c r="N162" s="43" t="s">
        <v>2033</v>
      </c>
      <c r="O162" s="44" t="s">
        <v>2034</v>
      </c>
      <c r="P162" s="45" t="str">
        <f t="shared" si="24"/>
        <v>MZ-Mozambique</v>
      </c>
      <c r="AE162" s="51"/>
      <c r="AF162" s="52" t="s">
        <v>2035</v>
      </c>
      <c r="AG162" s="52" t="s">
        <v>2035</v>
      </c>
      <c r="AH162" s="53" t="str">
        <f t="shared" si="22"/>
        <v>07034-07034</v>
      </c>
      <c r="AV162" s="100" t="s">
        <v>2036</v>
      </c>
      <c r="AW162" s="62" t="s">
        <v>2037</v>
      </c>
      <c r="AX162" s="63" t="str">
        <f t="shared" si="23"/>
        <v>464-JAMAICA</v>
      </c>
    </row>
    <row r="163" spans="2:50" ht="15">
      <c r="B163" s="97" t="s">
        <v>2038</v>
      </c>
      <c r="C163" s="97" t="s">
        <v>2039</v>
      </c>
      <c r="D163" s="75" t="str">
        <f t="shared" si="25"/>
        <v>JB-Saco cúbico de polipropileno (jumbo bag)</v>
      </c>
      <c r="F163" s="39" t="s">
        <v>2040</v>
      </c>
      <c r="G163" s="39" t="s">
        <v>2041</v>
      </c>
      <c r="H163" s="40" t="str">
        <f t="shared" si="21"/>
        <v>TZS-Tanzanian Schilling</v>
      </c>
      <c r="N163" s="43" t="s">
        <v>2042</v>
      </c>
      <c r="O163" s="44" t="s">
        <v>2043</v>
      </c>
      <c r="P163" s="45" t="str">
        <f t="shared" si="24"/>
        <v>NA-Namibia</v>
      </c>
      <c r="AE163" s="51"/>
      <c r="AF163" s="52" t="s">
        <v>2044</v>
      </c>
      <c r="AG163" s="52" t="s">
        <v>2044</v>
      </c>
      <c r="AH163" s="53" t="str">
        <f t="shared" si="22"/>
        <v>07035-07035</v>
      </c>
      <c r="AV163" s="100" t="s">
        <v>2045</v>
      </c>
      <c r="AW163" s="62" t="s">
        <v>2046</v>
      </c>
      <c r="AX163" s="63" t="str">
        <f t="shared" si="23"/>
        <v>465-ST. LUCIA</v>
      </c>
    </row>
    <row r="164" spans="2:50" ht="26.25">
      <c r="B164" s="97" t="s">
        <v>2047</v>
      </c>
      <c r="C164" s="97" t="s">
        <v>2048</v>
      </c>
      <c r="D164" s="75" t="str">
        <f t="shared" si="25"/>
        <v>JC-Jerrycan, rectangular</v>
      </c>
      <c r="F164" s="39" t="s">
        <v>2049</v>
      </c>
      <c r="G164" s="39" t="s">
        <v>2050</v>
      </c>
      <c r="H164" s="40" t="str">
        <f t="shared" si="21"/>
        <v>THB-Thai Baht</v>
      </c>
      <c r="N164" s="43" t="s">
        <v>2051</v>
      </c>
      <c r="O164" s="44" t="s">
        <v>2052</v>
      </c>
      <c r="P164" s="45" t="str">
        <f t="shared" si="24"/>
        <v>NC-New Caledonia</v>
      </c>
      <c r="AE164" s="51"/>
      <c r="AF164" s="52" t="s">
        <v>2053</v>
      </c>
      <c r="AG164" s="52" t="s">
        <v>2053</v>
      </c>
      <c r="AH164" s="53" t="str">
        <f t="shared" si="22"/>
        <v>08011-08011</v>
      </c>
      <c r="AV164" s="100" t="s">
        <v>2054</v>
      </c>
      <c r="AW164" s="62" t="s">
        <v>2055</v>
      </c>
      <c r="AX164" s="63" t="str">
        <f t="shared" si="23"/>
        <v>467-St Vincent and the Grenadines</v>
      </c>
    </row>
    <row r="165" spans="2:50" ht="15">
      <c r="B165" s="97" t="s">
        <v>2056</v>
      </c>
      <c r="C165" s="97" t="s">
        <v>2057</v>
      </c>
      <c r="D165" s="75" t="str">
        <f t="shared" si="25"/>
        <v>JG-Jug</v>
      </c>
      <c r="F165" s="39" t="s">
        <v>2058</v>
      </c>
      <c r="G165" s="39" t="s">
        <v>2059</v>
      </c>
      <c r="H165" s="40" t="str">
        <f t="shared" si="21"/>
        <v>TWD-New Taiwan Dollar</v>
      </c>
      <c r="N165" s="43" t="s">
        <v>2060</v>
      </c>
      <c r="O165" s="44" t="s">
        <v>2061</v>
      </c>
      <c r="P165" s="45" t="str">
        <f t="shared" si="24"/>
        <v>NE-Niger</v>
      </c>
      <c r="AE165" s="51"/>
      <c r="AF165" s="52" t="s">
        <v>2062</v>
      </c>
      <c r="AG165" s="52" t="s">
        <v>2062</v>
      </c>
      <c r="AH165" s="53" t="str">
        <f t="shared" si="22"/>
        <v>08012-08012</v>
      </c>
      <c r="AV165" s="100" t="s">
        <v>2063</v>
      </c>
      <c r="AW165" s="62" t="s">
        <v>2064</v>
      </c>
      <c r="AX165" s="63" t="str">
        <f t="shared" si="23"/>
        <v>468-Virgin Islands (British)</v>
      </c>
    </row>
    <row r="166" spans="2:50" ht="15">
      <c r="B166" s="97" t="s">
        <v>2065</v>
      </c>
      <c r="C166" s="97" t="s">
        <v>2066</v>
      </c>
      <c r="D166" s="75" t="str">
        <f t="shared" si="25"/>
        <v>JR-Jar</v>
      </c>
      <c r="F166" s="39" t="s">
        <v>537</v>
      </c>
      <c r="G166" s="39" t="s">
        <v>2067</v>
      </c>
      <c r="H166" s="40" t="str">
        <f t="shared" si="21"/>
        <v>XOF-Togo, CFA Franc BCEAO</v>
      </c>
      <c r="N166" s="43" t="s">
        <v>2068</v>
      </c>
      <c r="O166" s="44" t="s">
        <v>2069</v>
      </c>
      <c r="P166" s="45" t="str">
        <f t="shared" si="24"/>
        <v>NF-Norfolk Island</v>
      </c>
      <c r="AE166" s="51"/>
      <c r="AF166" s="52" t="s">
        <v>2070</v>
      </c>
      <c r="AG166" s="52" t="s">
        <v>2070</v>
      </c>
      <c r="AH166" s="53" t="str">
        <f t="shared" si="22"/>
        <v>08013-08013</v>
      </c>
      <c r="AV166" s="100" t="s">
        <v>2071</v>
      </c>
      <c r="AW166" s="62" t="s">
        <v>2072</v>
      </c>
      <c r="AX166" s="63" t="str">
        <f t="shared" si="23"/>
        <v>469-BARBADOS</v>
      </c>
    </row>
    <row r="167" spans="2:50" ht="15">
      <c r="B167" s="97" t="s">
        <v>2073</v>
      </c>
      <c r="C167" s="97" t="s">
        <v>2074</v>
      </c>
      <c r="D167" s="75" t="str">
        <f t="shared" si="25"/>
        <v>JT-Jutebag</v>
      </c>
      <c r="F167" s="39" t="s">
        <v>2075</v>
      </c>
      <c r="G167" s="39" t="s">
        <v>2076</v>
      </c>
      <c r="H167" s="40" t="str">
        <f t="shared" si="21"/>
        <v>TOP-Tongan Pa'anga</v>
      </c>
      <c r="N167" s="43" t="s">
        <v>2077</v>
      </c>
      <c r="O167" s="44" t="s">
        <v>2078</v>
      </c>
      <c r="P167" s="45" t="str">
        <f t="shared" si="24"/>
        <v>NG-Nigeria</v>
      </c>
      <c r="AE167" s="51"/>
      <c r="AF167" s="52" t="s">
        <v>2079</v>
      </c>
      <c r="AG167" s="52" t="s">
        <v>2079</v>
      </c>
      <c r="AH167" s="53" t="str">
        <f t="shared" si="22"/>
        <v>08014-08014</v>
      </c>
      <c r="AV167" s="100" t="s">
        <v>2080</v>
      </c>
      <c r="AW167" s="62" t="s">
        <v>2081</v>
      </c>
      <c r="AX167" s="63" t="str">
        <f t="shared" si="23"/>
        <v>470-MONTSERRAT</v>
      </c>
    </row>
    <row r="168" spans="2:50" ht="15">
      <c r="B168" s="97" t="s">
        <v>2082</v>
      </c>
      <c r="C168" s="97" t="s">
        <v>2083</v>
      </c>
      <c r="D168" s="75" t="str">
        <f t="shared" si="25"/>
        <v>JY-Jerrycan, cylindrical</v>
      </c>
      <c r="F168" s="39" t="s">
        <v>2084</v>
      </c>
      <c r="G168" s="39" t="s">
        <v>2085</v>
      </c>
      <c r="H168" s="40" t="str">
        <f t="shared" si="21"/>
        <v>TTD-Trinidad and Tobago Dollar</v>
      </c>
      <c r="N168" s="43" t="s">
        <v>2086</v>
      </c>
      <c r="O168" s="44" t="s">
        <v>2087</v>
      </c>
      <c r="P168" s="45" t="str">
        <f t="shared" si="24"/>
        <v>NI-Nicaragua</v>
      </c>
      <c r="AE168" s="51"/>
      <c r="AF168" s="52" t="s">
        <v>2088</v>
      </c>
      <c r="AG168" s="52" t="s">
        <v>2088</v>
      </c>
      <c r="AH168" s="53" t="str">
        <f t="shared" si="22"/>
        <v>08021-08021</v>
      </c>
      <c r="AV168" s="100" t="s">
        <v>2089</v>
      </c>
      <c r="AW168" s="62" t="s">
        <v>2090</v>
      </c>
      <c r="AX168" s="63" t="str">
        <f t="shared" si="23"/>
        <v>472-TRİNİDAD AND TOBAGO</v>
      </c>
    </row>
    <row r="169" spans="2:50" ht="15">
      <c r="B169" s="97" t="s">
        <v>1675</v>
      </c>
      <c r="C169" s="97" t="s">
        <v>2091</v>
      </c>
      <c r="D169" s="75" t="str">
        <f t="shared" si="25"/>
        <v>KG-Keg</v>
      </c>
      <c r="F169" s="39" t="s">
        <v>2092</v>
      </c>
      <c r="G169" s="39" t="s">
        <v>2093</v>
      </c>
      <c r="H169" s="40" t="str">
        <f t="shared" si="21"/>
        <v>TND-Tunisian Dinar</v>
      </c>
      <c r="N169" s="43" t="s">
        <v>2094</v>
      </c>
      <c r="O169" s="44" t="s">
        <v>2095</v>
      </c>
      <c r="P169" s="45" t="str">
        <f t="shared" si="24"/>
        <v>NL-Dutch</v>
      </c>
      <c r="AE169" s="51"/>
      <c r="AF169" s="52" t="s">
        <v>2096</v>
      </c>
      <c r="AG169" s="52" t="s">
        <v>2096</v>
      </c>
      <c r="AH169" s="53" t="str">
        <f t="shared" si="22"/>
        <v>08031-08031</v>
      </c>
      <c r="AV169" s="100" t="s">
        <v>2097</v>
      </c>
      <c r="AW169" s="62" t="s">
        <v>2098</v>
      </c>
      <c r="AX169" s="63" t="str">
        <f t="shared" si="23"/>
        <v>473-GRENADA</v>
      </c>
    </row>
    <row r="170" spans="2:50" ht="15">
      <c r="B170" s="97" t="s">
        <v>1692</v>
      </c>
      <c r="C170" s="97" t="s">
        <v>2099</v>
      </c>
      <c r="D170" s="75" t="str">
        <f t="shared" si="25"/>
        <v>KI-Juego (kit)</v>
      </c>
      <c r="F170" s="39" t="s">
        <v>2100</v>
      </c>
      <c r="G170" s="39" t="s">
        <v>2101</v>
      </c>
      <c r="H170" s="40" t="str">
        <f t="shared" si="21"/>
        <v>TRY-Turkish Lira</v>
      </c>
      <c r="N170" s="43" t="s">
        <v>2102</v>
      </c>
      <c r="O170" s="44" t="s">
        <v>2103</v>
      </c>
      <c r="P170" s="45" t="str">
        <f t="shared" si="24"/>
        <v>NO-Norwegian</v>
      </c>
      <c r="AE170" s="51"/>
      <c r="AF170" s="52" t="s">
        <v>2104</v>
      </c>
      <c r="AG170" s="52" t="s">
        <v>2104</v>
      </c>
      <c r="AH170" s="53" t="str">
        <f t="shared" si="22"/>
        <v>08032-08032</v>
      </c>
      <c r="AV170" s="100" t="s">
        <v>2105</v>
      </c>
      <c r="AW170" s="62" t="s">
        <v>2106</v>
      </c>
      <c r="AX170" s="63" t="str">
        <f t="shared" si="23"/>
        <v>474-ARUBA</v>
      </c>
    </row>
    <row r="171" spans="2:50" ht="15">
      <c r="B171" s="97" t="s">
        <v>1708</v>
      </c>
      <c r="C171" s="97" t="s">
        <v>2107</v>
      </c>
      <c r="D171" s="75" t="str">
        <f t="shared" si="25"/>
        <v>KN-Container</v>
      </c>
      <c r="F171" s="39" t="s">
        <v>2108</v>
      </c>
      <c r="G171" s="39" t="s">
        <v>2109</v>
      </c>
      <c r="H171" s="40" t="str">
        <f t="shared" si="21"/>
        <v>TMT-Turkmenistan New Manat </v>
      </c>
      <c r="N171" s="43" t="s">
        <v>2110</v>
      </c>
      <c r="O171" s="44" t="s">
        <v>2111</v>
      </c>
      <c r="P171" s="45" t="str">
        <f t="shared" si="24"/>
        <v>NP-Nepal</v>
      </c>
      <c r="AE171" s="51"/>
      <c r="AF171" s="52" t="s">
        <v>2112</v>
      </c>
      <c r="AG171" s="52" t="s">
        <v>2112</v>
      </c>
      <c r="AH171" s="53" t="str">
        <f t="shared" si="22"/>
        <v>08033-08033</v>
      </c>
      <c r="AV171" s="100" t="s">
        <v>2113</v>
      </c>
      <c r="AW171" s="62" t="s">
        <v>2114</v>
      </c>
      <c r="AX171" s="63" t="str">
        <f t="shared" si="23"/>
        <v>480-COLOMBIA</v>
      </c>
    </row>
    <row r="172" spans="2:50" ht="15">
      <c r="B172" s="97" t="s">
        <v>2115</v>
      </c>
      <c r="C172" s="97" t="s">
        <v>2116</v>
      </c>
      <c r="D172" s="75" t="str">
        <f t="shared" si="25"/>
        <v>LE-Equipaje</v>
      </c>
      <c r="F172" s="39" t="s">
        <v>2117</v>
      </c>
      <c r="G172" s="39" t="s">
        <v>2118</v>
      </c>
      <c r="H172" s="40" t="str">
        <f t="shared" si="21"/>
        <v>UGX-Uganda Shilling</v>
      </c>
      <c r="N172" s="43" t="s">
        <v>2119</v>
      </c>
      <c r="O172" s="44" t="s">
        <v>2120</v>
      </c>
      <c r="P172" s="45" t="str">
        <f t="shared" si="24"/>
        <v>NR-Nauru</v>
      </c>
      <c r="AE172" s="51"/>
      <c r="AF172" s="52" t="s">
        <v>2121</v>
      </c>
      <c r="AG172" s="52" t="s">
        <v>2121</v>
      </c>
      <c r="AH172" s="53" t="str">
        <f t="shared" si="22"/>
        <v>08034-08034</v>
      </c>
      <c r="AV172" s="100" t="s">
        <v>2122</v>
      </c>
      <c r="AW172" s="62" t="s">
        <v>2123</v>
      </c>
      <c r="AX172" s="63" t="str">
        <f t="shared" si="23"/>
        <v>484-VENEZUELLA</v>
      </c>
    </row>
    <row r="173" spans="2:50" ht="15">
      <c r="B173" s="97" t="s">
        <v>2124</v>
      </c>
      <c r="C173" s="97" t="s">
        <v>2125</v>
      </c>
      <c r="D173" s="75" t="str">
        <f t="shared" si="25"/>
        <v>LG-Log</v>
      </c>
      <c r="F173" s="39" t="s">
        <v>2126</v>
      </c>
      <c r="G173" s="39" t="s">
        <v>2127</v>
      </c>
      <c r="H173" s="40" t="str">
        <f t="shared" si="21"/>
        <v>UAH-Ukraine Hryvnia</v>
      </c>
      <c r="N173" s="43" t="s">
        <v>2128</v>
      </c>
      <c r="O173" s="44" t="s">
        <v>2129</v>
      </c>
      <c r="P173" s="45" t="str">
        <f t="shared" si="24"/>
        <v>NU-Niue</v>
      </c>
      <c r="AE173" s="51"/>
      <c r="AF173" s="52" t="s">
        <v>2130</v>
      </c>
      <c r="AG173" s="52" t="s">
        <v>2130</v>
      </c>
      <c r="AH173" s="53" t="str">
        <f t="shared" si="22"/>
        <v>08035-08035</v>
      </c>
      <c r="AV173" s="100" t="s">
        <v>2131</v>
      </c>
      <c r="AW173" s="62" t="s">
        <v>2132</v>
      </c>
      <c r="AX173" s="63" t="str">
        <f t="shared" si="23"/>
        <v>488-GUYANA</v>
      </c>
    </row>
    <row r="174" spans="2:50" ht="15">
      <c r="B174" s="97" t="s">
        <v>1818</v>
      </c>
      <c r="C174" s="97" t="s">
        <v>2133</v>
      </c>
      <c r="D174" s="75" t="str">
        <f t="shared" si="25"/>
        <v>LT-Lot</v>
      </c>
      <c r="F174" s="39" t="s">
        <v>2134</v>
      </c>
      <c r="G174" s="39" t="s">
        <v>2135</v>
      </c>
      <c r="H174" s="40" t="str">
        <f t="shared" si="21"/>
        <v>OMR-Rial Omani</v>
      </c>
      <c r="N174" s="43" t="s">
        <v>2136</v>
      </c>
      <c r="O174" s="44" t="s">
        <v>2137</v>
      </c>
      <c r="P174" s="45" t="str">
        <f t="shared" si="24"/>
        <v>NZ-New Zealand</v>
      </c>
      <c r="AE174" s="51"/>
      <c r="AF174" s="52" t="s">
        <v>2138</v>
      </c>
      <c r="AG174" s="52" t="s">
        <v>2138</v>
      </c>
      <c r="AH174" s="53" t="str">
        <f t="shared" si="22"/>
        <v>08036-08036</v>
      </c>
      <c r="AV174" s="100" t="s">
        <v>2139</v>
      </c>
      <c r="AW174" s="62" t="s">
        <v>2140</v>
      </c>
      <c r="AX174" s="63" t="str">
        <f t="shared" si="23"/>
        <v>492-SURINAME</v>
      </c>
    </row>
    <row r="175" spans="2:50" ht="15">
      <c r="B175" s="97" t="s">
        <v>1827</v>
      </c>
      <c r="C175" s="97" t="s">
        <v>2141</v>
      </c>
      <c r="D175" s="75" t="str">
        <f t="shared" si="25"/>
        <v>LU-Caja de madera (lug)</v>
      </c>
      <c r="F175" s="39" t="s">
        <v>2142</v>
      </c>
      <c r="G175" s="39" t="s">
        <v>2143</v>
      </c>
      <c r="H175" s="40" t="str">
        <f t="shared" si="21"/>
        <v>UYU-Peso Uruguayo</v>
      </c>
      <c r="N175" s="43" t="s">
        <v>2144</v>
      </c>
      <c r="O175" s="44" t="s">
        <v>2145</v>
      </c>
      <c r="P175" s="45" t="str">
        <f t="shared" si="24"/>
        <v>OM-Oman</v>
      </c>
      <c r="AE175" s="51"/>
      <c r="AF175" s="52" t="s">
        <v>2146</v>
      </c>
      <c r="AG175" s="52" t="s">
        <v>2146</v>
      </c>
      <c r="AH175" s="53" t="str">
        <f t="shared" si="22"/>
        <v>08999-08999</v>
      </c>
      <c r="AV175" s="100" t="s">
        <v>2147</v>
      </c>
      <c r="AW175" s="62" t="s">
        <v>2148</v>
      </c>
      <c r="AX175" s="63" t="str">
        <f t="shared" si="23"/>
        <v>500-ECUADOR</v>
      </c>
    </row>
    <row r="176" spans="2:50" ht="15">
      <c r="B176" s="97" t="s">
        <v>1835</v>
      </c>
      <c r="C176" s="97" t="s">
        <v>2149</v>
      </c>
      <c r="D176" s="75" t="str">
        <f t="shared" si="25"/>
        <v>LV-Lift van</v>
      </c>
      <c r="F176" s="39" t="s">
        <v>2150</v>
      </c>
      <c r="G176" s="39" t="s">
        <v>2151</v>
      </c>
      <c r="H176" s="40" t="str">
        <f t="shared" si="21"/>
        <v>JOD-Jordanian Dinar</v>
      </c>
      <c r="N176" s="43" t="s">
        <v>2152</v>
      </c>
      <c r="O176" s="44" t="s">
        <v>2153</v>
      </c>
      <c r="P176" s="45" t="str">
        <f t="shared" si="24"/>
        <v>PA-Panama</v>
      </c>
      <c r="AE176" s="51"/>
      <c r="AF176" s="52" t="s">
        <v>2154</v>
      </c>
      <c r="AG176" s="52" t="s">
        <v>2154</v>
      </c>
      <c r="AH176" s="53" t="str">
        <f t="shared" si="22"/>
        <v>09001-09001</v>
      </c>
      <c r="AV176" s="100" t="s">
        <v>2155</v>
      </c>
      <c r="AW176" s="62" t="s">
        <v>2156</v>
      </c>
      <c r="AX176" s="63" t="str">
        <f t="shared" si="23"/>
        <v>504-PERU</v>
      </c>
    </row>
    <row r="177" spans="2:50" ht="15">
      <c r="B177" s="97" t="s">
        <v>2157</v>
      </c>
      <c r="C177" s="97" t="s">
        <v>2158</v>
      </c>
      <c r="D177" s="75" t="str">
        <f t="shared" si="25"/>
        <v>LZ-Logs, in bundle/bunch/truss</v>
      </c>
      <c r="F177" s="39" t="s">
        <v>2159</v>
      </c>
      <c r="G177" s="39" t="s">
        <v>2160</v>
      </c>
      <c r="H177" s="40" t="str">
        <f t="shared" si="21"/>
        <v>VUV-Vanuatu Vatu</v>
      </c>
      <c r="N177" s="43" t="s">
        <v>2161</v>
      </c>
      <c r="O177" s="44" t="s">
        <v>2162</v>
      </c>
      <c r="P177" s="45" t="str">
        <f t="shared" si="24"/>
        <v>PE-Peru</v>
      </c>
      <c r="AE177" s="51"/>
      <c r="AF177" s="52" t="s">
        <v>2163</v>
      </c>
      <c r="AG177" s="52" t="s">
        <v>2163</v>
      </c>
      <c r="AH177" s="53" t="str">
        <f t="shared" si="22"/>
        <v>09002-09002</v>
      </c>
      <c r="AV177" s="100" t="s">
        <v>2164</v>
      </c>
      <c r="AW177" s="62" t="s">
        <v>2165</v>
      </c>
      <c r="AX177" s="63" t="str">
        <f t="shared" si="23"/>
        <v>508-BRAZIL</v>
      </c>
    </row>
    <row r="178" spans="2:50" ht="15">
      <c r="B178" s="97" t="s">
        <v>1851</v>
      </c>
      <c r="C178" s="97" t="s">
        <v>2166</v>
      </c>
      <c r="D178" s="75" t="str">
        <f t="shared" si="25"/>
        <v>MA-Cajón de metal</v>
      </c>
      <c r="F178" s="39" t="s">
        <v>2167</v>
      </c>
      <c r="G178" s="39" t="s">
        <v>2168</v>
      </c>
      <c r="H178" s="40" t="str">
        <f t="shared" si="21"/>
        <v>VEF-Venezuelan Bolivar</v>
      </c>
      <c r="N178" s="43" t="s">
        <v>2169</v>
      </c>
      <c r="O178" s="44" t="s">
        <v>2170</v>
      </c>
      <c r="P178" s="45" t="str">
        <f t="shared" si="24"/>
        <v>PF-French Polynesia</v>
      </c>
      <c r="AE178" s="51"/>
      <c r="AF178" s="52" t="s">
        <v>2171</v>
      </c>
      <c r="AG178" s="52" t="s">
        <v>2171</v>
      </c>
      <c r="AH178" s="53" t="str">
        <f t="shared" si="22"/>
        <v>09003-09003</v>
      </c>
      <c r="AV178" s="100" t="s">
        <v>2172</v>
      </c>
      <c r="AW178" s="62" t="s">
        <v>2173</v>
      </c>
      <c r="AX178" s="63" t="str">
        <f t="shared" si="23"/>
        <v>512-CHILE</v>
      </c>
    </row>
    <row r="179" spans="2:50" ht="15">
      <c r="B179" s="97" t="s">
        <v>2174</v>
      </c>
      <c r="C179" s="97" t="s">
        <v>2175</v>
      </c>
      <c r="D179" s="75" t="str">
        <f t="shared" si="25"/>
        <v>MB-Multiply bag</v>
      </c>
      <c r="F179" s="39" t="s">
        <v>2176</v>
      </c>
      <c r="G179" s="39" t="s">
        <v>2177</v>
      </c>
      <c r="H179" s="40" t="str">
        <f t="shared" si="21"/>
        <v>VND-Vietnamese Dong</v>
      </c>
      <c r="N179" s="43" t="s">
        <v>2178</v>
      </c>
      <c r="O179" s="44" t="s">
        <v>2179</v>
      </c>
      <c r="P179" s="45" t="str">
        <f t="shared" si="24"/>
        <v>PG-Papua New Guinea</v>
      </c>
      <c r="AE179" s="51"/>
      <c r="AF179" s="52" t="s">
        <v>2180</v>
      </c>
      <c r="AG179" s="52" t="s">
        <v>2180</v>
      </c>
      <c r="AH179" s="53" t="str">
        <f t="shared" si="22"/>
        <v>09004-09004</v>
      </c>
      <c r="AV179" s="100" t="s">
        <v>2181</v>
      </c>
      <c r="AW179" s="62" t="s">
        <v>2182</v>
      </c>
      <c r="AX179" s="63" t="str">
        <f t="shared" si="23"/>
        <v>516-BOLIVIA</v>
      </c>
    </row>
    <row r="180" spans="2:50" ht="30">
      <c r="B180" s="97" t="s">
        <v>1859</v>
      </c>
      <c r="C180" s="97" t="s">
        <v>2183</v>
      </c>
      <c r="D180" s="75" t="str">
        <f t="shared" si="25"/>
        <v>MC-Milk crate</v>
      </c>
      <c r="F180" s="39" t="s">
        <v>1085</v>
      </c>
      <c r="G180" s="39" t="s">
        <v>2184</v>
      </c>
      <c r="H180" s="40" t="str">
        <f t="shared" si="21"/>
        <v>XPF-Wallis and Futuna, CFP Franc</v>
      </c>
      <c r="N180" s="43" t="s">
        <v>2185</v>
      </c>
      <c r="O180" s="44" t="s">
        <v>2186</v>
      </c>
      <c r="P180" s="45" t="str">
        <f t="shared" si="24"/>
        <v>PH-Philippines</v>
      </c>
      <c r="AE180" s="51"/>
      <c r="AF180" s="52" t="s">
        <v>2187</v>
      </c>
      <c r="AG180" s="52" t="s">
        <v>2187</v>
      </c>
      <c r="AH180" s="53" t="str">
        <f t="shared" si="22"/>
        <v>09005-09005</v>
      </c>
      <c r="AV180" s="100" t="s">
        <v>2188</v>
      </c>
      <c r="AW180" s="62" t="s">
        <v>2189</v>
      </c>
      <c r="AX180" s="63" t="str">
        <f t="shared" si="23"/>
        <v>520-PARAGUAY</v>
      </c>
    </row>
    <row r="181" spans="2:50" ht="15">
      <c r="B181" s="97" t="s">
        <v>1875</v>
      </c>
      <c r="C181" s="97" t="s">
        <v>2190</v>
      </c>
      <c r="D181" s="75" t="str">
        <f t="shared" si="25"/>
        <v>ME-Contenedor de metal</v>
      </c>
      <c r="F181" s="39" t="s">
        <v>2191</v>
      </c>
      <c r="G181" s="39" t="s">
        <v>2192</v>
      </c>
      <c r="H181" s="40" t="str">
        <f t="shared" si="21"/>
        <v>YER-Yemeni Rial</v>
      </c>
      <c r="N181" s="43" t="s">
        <v>2193</v>
      </c>
      <c r="O181" s="44" t="s">
        <v>2194</v>
      </c>
      <c r="P181" s="45" t="str">
        <f t="shared" si="24"/>
        <v>PK-Pakistan</v>
      </c>
      <c r="AE181" s="51"/>
      <c r="AF181" s="52" t="s">
        <v>2195</v>
      </c>
      <c r="AG181" s="52" t="s">
        <v>2195</v>
      </c>
      <c r="AH181" s="53" t="str">
        <f t="shared" si="22"/>
        <v>09006-09006</v>
      </c>
      <c r="AV181" s="100" t="s">
        <v>2196</v>
      </c>
      <c r="AW181" s="62" t="s">
        <v>2197</v>
      </c>
      <c r="AX181" s="63" t="str">
        <f t="shared" si="23"/>
        <v>524-URUGUAY</v>
      </c>
    </row>
    <row r="182" spans="2:50" ht="15">
      <c r="B182" s="97" t="s">
        <v>1966</v>
      </c>
      <c r="C182" s="97" t="s">
        <v>2198</v>
      </c>
      <c r="D182" s="75" t="str">
        <f t="shared" si="25"/>
        <v>MR-Receptacle, metal</v>
      </c>
      <c r="F182" s="39" t="s">
        <v>1085</v>
      </c>
      <c r="G182" s="39" t="s">
        <v>2199</v>
      </c>
      <c r="H182" s="40" t="str">
        <f t="shared" si="21"/>
        <v>XPF-New Caledonia, CFP Franc</v>
      </c>
      <c r="N182" s="43" t="s">
        <v>2200</v>
      </c>
      <c r="O182" s="44" t="s">
        <v>2201</v>
      </c>
      <c r="P182" s="45" t="str">
        <f t="shared" si="24"/>
        <v>PL-Polish</v>
      </c>
      <c r="AE182" s="51"/>
      <c r="AF182" s="52" t="s">
        <v>2202</v>
      </c>
      <c r="AG182" s="52" t="s">
        <v>2202</v>
      </c>
      <c r="AH182" s="53" t="str">
        <f t="shared" si="22"/>
        <v>09011-09011</v>
      </c>
      <c r="AV182" s="100" t="s">
        <v>2203</v>
      </c>
      <c r="AW182" s="62" t="s">
        <v>2204</v>
      </c>
      <c r="AX182" s="63" t="str">
        <f t="shared" si="23"/>
        <v>528-ARGENTINA</v>
      </c>
    </row>
    <row r="183" spans="2:50" ht="15">
      <c r="B183" s="97" t="s">
        <v>1972</v>
      </c>
      <c r="C183" s="97" t="s">
        <v>2205</v>
      </c>
      <c r="D183" s="75" t="str">
        <f t="shared" si="25"/>
        <v>MS-Multiwall sack</v>
      </c>
      <c r="F183" s="39" t="s">
        <v>2206</v>
      </c>
      <c r="G183" s="39" t="s">
        <v>2207</v>
      </c>
      <c r="H183" s="40" t="str">
        <f t="shared" si="21"/>
        <v>RON-New Romanian Leu </v>
      </c>
      <c r="N183" s="43" t="s">
        <v>2208</v>
      </c>
      <c r="O183" s="44" t="s">
        <v>2209</v>
      </c>
      <c r="P183" s="45" t="str">
        <f t="shared" si="24"/>
        <v>PM-St Pierre/Miquelon</v>
      </c>
      <c r="AE183" s="51"/>
      <c r="AF183" s="52" t="s">
        <v>2210</v>
      </c>
      <c r="AG183" s="52" t="s">
        <v>2210</v>
      </c>
      <c r="AH183" s="53" t="str">
        <f t="shared" si="22"/>
        <v>09016-09016</v>
      </c>
      <c r="AV183" s="100" t="s">
        <v>2211</v>
      </c>
      <c r="AW183" s="62" t="s">
        <v>2212</v>
      </c>
      <c r="AX183" s="63" t="str">
        <f t="shared" si="23"/>
        <v>529-FALKLAND ISLANDS</v>
      </c>
    </row>
    <row r="184" spans="2:50" ht="15">
      <c r="B184" s="97" t="s">
        <v>1981</v>
      </c>
      <c r="C184" s="97" t="s">
        <v>2213</v>
      </c>
      <c r="D184" s="75" t="str">
        <f t="shared" si="25"/>
        <v>MT-Mat</v>
      </c>
      <c r="F184" s="39" t="s">
        <v>2214</v>
      </c>
      <c r="G184" s="39" t="s">
        <v>2215</v>
      </c>
      <c r="H184" s="40" t="str">
        <f t="shared" si="21"/>
        <v>NZD-New Zealand Dollar</v>
      </c>
      <c r="N184" s="43" t="s">
        <v>2216</v>
      </c>
      <c r="O184" s="44" t="s">
        <v>2217</v>
      </c>
      <c r="P184" s="45" t="str">
        <f t="shared" si="24"/>
        <v>PN-Pitcairn</v>
      </c>
      <c r="AE184" s="51"/>
      <c r="AF184" s="52" t="s">
        <v>2218</v>
      </c>
      <c r="AG184" s="52" t="s">
        <v>2218</v>
      </c>
      <c r="AH184" s="53" t="str">
        <f t="shared" si="22"/>
        <v>09017-09017</v>
      </c>
      <c r="AV184" s="100" t="s">
        <v>2219</v>
      </c>
      <c r="AW184" s="62" t="s">
        <v>2220</v>
      </c>
      <c r="AX184" s="63" t="str">
        <f t="shared" si="23"/>
        <v>600-CYPRUS</v>
      </c>
    </row>
    <row r="185" spans="2:50" ht="26.25">
      <c r="B185" s="97" t="s">
        <v>2008</v>
      </c>
      <c r="C185" s="97" t="s">
        <v>2221</v>
      </c>
      <c r="D185" s="75" t="str">
        <f t="shared" si="25"/>
        <v>MW-Receptacle, plastic-wrapped</v>
      </c>
      <c r="F185" s="39" t="s">
        <v>2222</v>
      </c>
      <c r="G185" s="39" t="s">
        <v>2223</v>
      </c>
      <c r="H185" s="40" t="str">
        <f t="shared" si="21"/>
        <v>CVE-Cape Verde Escudo</v>
      </c>
      <c r="N185" s="43" t="s">
        <v>2224</v>
      </c>
      <c r="O185" s="44" t="s">
        <v>2225</v>
      </c>
      <c r="P185" s="45" t="str">
        <f t="shared" si="24"/>
        <v>PR-Puerto Rico</v>
      </c>
      <c r="AE185" s="51"/>
      <c r="AF185" s="52" t="s">
        <v>2226</v>
      </c>
      <c r="AG185" s="52" t="s">
        <v>2226</v>
      </c>
      <c r="AH185" s="53" t="str">
        <f t="shared" si="22"/>
        <v>09018-09018</v>
      </c>
      <c r="AV185" s="100" t="s">
        <v>2227</v>
      </c>
      <c r="AW185" s="62" t="s">
        <v>2228</v>
      </c>
      <c r="AX185" s="63" t="str">
        <f t="shared" si="23"/>
        <v>601-NORTHERN CYPRUS TURKISH REPUBLIC</v>
      </c>
    </row>
    <row r="186" spans="2:50" ht="15">
      <c r="B186" s="97" t="s">
        <v>2016</v>
      </c>
      <c r="C186" s="97" t="s">
        <v>2229</v>
      </c>
      <c r="D186" s="75" t="str">
        <f t="shared" si="25"/>
        <v>MX-Matchbox</v>
      </c>
      <c r="F186" s="39" t="s">
        <v>2230</v>
      </c>
      <c r="G186" s="39" t="s">
        <v>2231</v>
      </c>
      <c r="H186" s="40" t="str">
        <f t="shared" si="21"/>
        <v>ZMK-Zambian Kwacha</v>
      </c>
      <c r="N186" s="43" t="s">
        <v>2232</v>
      </c>
      <c r="O186" s="44" t="s">
        <v>2233</v>
      </c>
      <c r="P186" s="45" t="str">
        <f t="shared" si="24"/>
        <v>PS-Palestinian Territory</v>
      </c>
      <c r="AE186" s="51"/>
      <c r="AF186" s="52" t="s">
        <v>2234</v>
      </c>
      <c r="AG186" s="52" t="s">
        <v>2234</v>
      </c>
      <c r="AH186" s="53" t="str">
        <f t="shared" si="22"/>
        <v>09019-09019</v>
      </c>
      <c r="AV186" s="100" t="s">
        <v>2235</v>
      </c>
      <c r="AW186" s="62" t="s">
        <v>2236</v>
      </c>
      <c r="AX186" s="63" t="str">
        <f t="shared" si="23"/>
        <v>604-LEBANON</v>
      </c>
    </row>
    <row r="187" spans="2:50" ht="15">
      <c r="B187" s="97" t="s">
        <v>2042</v>
      </c>
      <c r="C187" s="97" t="s">
        <v>2237</v>
      </c>
      <c r="D187" s="75" t="str">
        <f t="shared" si="25"/>
        <v>NA-Not available</v>
      </c>
      <c r="F187" s="39" t="s">
        <v>2238</v>
      </c>
      <c r="G187" s="39" t="s">
        <v>2239</v>
      </c>
      <c r="H187" s="40" t="str">
        <f t="shared" si="21"/>
        <v>ZWL-Zimbabwe Dollar</v>
      </c>
      <c r="N187" s="43" t="s">
        <v>2240</v>
      </c>
      <c r="O187" s="44" t="s">
        <v>2241</v>
      </c>
      <c r="P187" s="45" t="str">
        <f t="shared" si="24"/>
        <v>PT-Portuguese</v>
      </c>
      <c r="AE187" s="51"/>
      <c r="AF187" s="52" t="s">
        <v>2242</v>
      </c>
      <c r="AG187" s="52" t="s">
        <v>2242</v>
      </c>
      <c r="AH187" s="53" t="str">
        <f t="shared" si="22"/>
        <v>09023-09023</v>
      </c>
      <c r="AV187" s="100" t="s">
        <v>2243</v>
      </c>
      <c r="AW187" s="62" t="s">
        <v>2244</v>
      </c>
      <c r="AX187" s="63" t="str">
        <f t="shared" si="23"/>
        <v xml:space="preserve">608-Syrian Arab Republic </v>
      </c>
    </row>
    <row r="188" spans="2:50" ht="15">
      <c r="B188" s="97" t="s">
        <v>2060</v>
      </c>
      <c r="C188" s="97" t="s">
        <v>2245</v>
      </c>
      <c r="D188" s="75" t="str">
        <f t="shared" si="25"/>
        <v>NE-Unpacked or unpackaged</v>
      </c>
      <c r="F188" s="104" t="s">
        <v>523</v>
      </c>
      <c r="G188" s="104" t="s">
        <v>2246</v>
      </c>
      <c r="H188" s="40" t="str">
        <f t="shared" si="21"/>
        <v>XXX-Others</v>
      </c>
      <c r="N188" s="43" t="s">
        <v>2247</v>
      </c>
      <c r="O188" s="44" t="s">
        <v>2248</v>
      </c>
      <c r="P188" s="45" t="str">
        <f t="shared" si="24"/>
        <v>PW-Palau</v>
      </c>
      <c r="AE188" s="51"/>
      <c r="AF188" s="52" t="s">
        <v>2249</v>
      </c>
      <c r="AG188" s="52" t="s">
        <v>2249</v>
      </c>
      <c r="AH188" s="53" t="str">
        <f t="shared" si="22"/>
        <v>09026-09026</v>
      </c>
      <c r="AV188" s="100" t="s">
        <v>2250</v>
      </c>
      <c r="AW188" s="62" t="s">
        <v>2251</v>
      </c>
      <c r="AX188" s="63" t="str">
        <f t="shared" si="23"/>
        <v>612-IRAQ</v>
      </c>
    </row>
    <row r="189" spans="2:50" ht="15">
      <c r="B189" s="97" t="s">
        <v>2068</v>
      </c>
      <c r="C189" s="97" t="s">
        <v>2252</v>
      </c>
      <c r="D189" s="75" t="str">
        <f t="shared" si="25"/>
        <v>NF-Unpacked or unpackaged, single unit</v>
      </c>
      <c r="N189" s="43" t="s">
        <v>2253</v>
      </c>
      <c r="O189" s="44" t="s">
        <v>2254</v>
      </c>
      <c r="P189" s="45" t="str">
        <f t="shared" si="24"/>
        <v>PY-Paraguay</v>
      </c>
      <c r="AE189" s="51"/>
      <c r="AF189" s="52" t="s">
        <v>2255</v>
      </c>
      <c r="AG189" s="52" t="s">
        <v>2255</v>
      </c>
      <c r="AH189" s="53" t="str">
        <f t="shared" si="22"/>
        <v>09027-09027</v>
      </c>
      <c r="AV189" s="100" t="s">
        <v>2256</v>
      </c>
      <c r="AW189" s="62" t="s">
        <v>2257</v>
      </c>
      <c r="AX189" s="63" t="str">
        <f t="shared" si="23"/>
        <v>616-IRAN</v>
      </c>
    </row>
    <row r="190" spans="2:50" ht="15">
      <c r="B190" s="97" t="s">
        <v>2077</v>
      </c>
      <c r="C190" s="97" t="s">
        <v>2258</v>
      </c>
      <c r="D190" s="75" t="str">
        <f t="shared" si="25"/>
        <v>NG-Unpacked or unpackaged, multiple units</v>
      </c>
      <c r="N190" s="43" t="s">
        <v>2259</v>
      </c>
      <c r="O190" s="44" t="s">
        <v>2260</v>
      </c>
      <c r="P190" s="45" t="str">
        <f t="shared" si="24"/>
        <v>QA-Qatar</v>
      </c>
      <c r="AE190" s="51"/>
      <c r="AF190" s="52" t="s">
        <v>2261</v>
      </c>
      <c r="AG190" s="52" t="s">
        <v>2261</v>
      </c>
      <c r="AH190" s="53" t="str">
        <f t="shared" si="22"/>
        <v>09031-09031</v>
      </c>
      <c r="AV190" s="100" t="s">
        <v>2262</v>
      </c>
      <c r="AW190" s="62" t="s">
        <v>2263</v>
      </c>
      <c r="AX190" s="63" t="str">
        <f t="shared" si="23"/>
        <v>624-ISRAEL</v>
      </c>
    </row>
    <row r="191" spans="2:50" ht="26.25">
      <c r="B191" s="97" t="s">
        <v>2264</v>
      </c>
      <c r="C191" s="97" t="s">
        <v>2265</v>
      </c>
      <c r="D191" s="75" t="str">
        <f t="shared" si="25"/>
        <v>NS-Nest</v>
      </c>
      <c r="N191" s="43" t="s">
        <v>2266</v>
      </c>
      <c r="O191" s="44" t="s">
        <v>2267</v>
      </c>
      <c r="P191" s="45" t="str">
        <f t="shared" si="24"/>
        <v>RE-Réunion</v>
      </c>
      <c r="AE191" s="51"/>
      <c r="AF191" s="52" t="s">
        <v>2268</v>
      </c>
      <c r="AG191" s="52" t="s">
        <v>2268</v>
      </c>
      <c r="AH191" s="53" t="str">
        <f t="shared" si="22"/>
        <v>09033-09033</v>
      </c>
      <c r="AV191" s="100" t="s">
        <v>2269</v>
      </c>
      <c r="AW191" s="62" t="s">
        <v>2270</v>
      </c>
      <c r="AX191" s="63" t="str">
        <f t="shared" si="23"/>
        <v>625-Occupied Palestinian Territory</v>
      </c>
    </row>
    <row r="192" spans="2:50" ht="15">
      <c r="B192" s="97" t="s">
        <v>2271</v>
      </c>
      <c r="C192" s="97" t="s">
        <v>2272</v>
      </c>
      <c r="D192" s="75" t="str">
        <f t="shared" si="25"/>
        <v>NT-Net</v>
      </c>
      <c r="N192" s="43" t="s">
        <v>2273</v>
      </c>
      <c r="O192" s="44" t="s">
        <v>2274</v>
      </c>
      <c r="P192" s="45" t="str">
        <f t="shared" si="24"/>
        <v>RO-Romanian</v>
      </c>
      <c r="AE192" s="51"/>
      <c r="AF192" s="52" t="s">
        <v>2275</v>
      </c>
      <c r="AG192" s="52" t="s">
        <v>2275</v>
      </c>
      <c r="AH192" s="53" t="str">
        <f t="shared" si="22"/>
        <v>09034-09034</v>
      </c>
      <c r="AV192" s="100" t="s">
        <v>2276</v>
      </c>
      <c r="AW192" s="62" t="s">
        <v>2277</v>
      </c>
      <c r="AX192" s="63" t="str">
        <f t="shared" si="23"/>
        <v>626-TIMOR LESTE</v>
      </c>
    </row>
    <row r="193" spans="2:50" ht="15">
      <c r="B193" s="97" t="s">
        <v>2128</v>
      </c>
      <c r="C193" s="97" t="s">
        <v>2278</v>
      </c>
      <c r="D193" s="75" t="str">
        <f t="shared" si="25"/>
        <v>NU-Net, tube, plastic</v>
      </c>
      <c r="N193" s="43" t="s">
        <v>2279</v>
      </c>
      <c r="O193" s="44" t="s">
        <v>2280</v>
      </c>
      <c r="P193" s="45" t="str">
        <f t="shared" si="24"/>
        <v>RS-Serbia</v>
      </c>
      <c r="AE193" s="51"/>
      <c r="AF193" s="52" t="s">
        <v>2281</v>
      </c>
      <c r="AG193" s="52" t="s">
        <v>2281</v>
      </c>
      <c r="AH193" s="53" t="str">
        <f t="shared" si="22"/>
        <v>09037-09037</v>
      </c>
      <c r="AV193" s="100" t="s">
        <v>2282</v>
      </c>
      <c r="AW193" s="62" t="s">
        <v>2283</v>
      </c>
      <c r="AX193" s="63" t="str">
        <f t="shared" si="23"/>
        <v>628-JORDAN</v>
      </c>
    </row>
    <row r="194" spans="2:50" ht="15">
      <c r="B194" s="97" t="s">
        <v>2284</v>
      </c>
      <c r="C194" s="97" t="s">
        <v>2285</v>
      </c>
      <c r="D194" s="75" t="str">
        <f t="shared" si="25"/>
        <v>NV-Net, tube, textile</v>
      </c>
      <c r="N194" s="43" t="s">
        <v>2286</v>
      </c>
      <c r="O194" s="44" t="s">
        <v>2287</v>
      </c>
      <c r="P194" s="45" t="str">
        <f t="shared" si="24"/>
        <v>RU-Russian</v>
      </c>
      <c r="AE194" s="51"/>
      <c r="AF194" s="52" t="s">
        <v>2288</v>
      </c>
      <c r="AG194" s="52" t="s">
        <v>2288</v>
      </c>
      <c r="AH194" s="53" t="str">
        <f t="shared" ref="AH194:AH220" si="26">CONCATENATE(AF194,"-",AG194)</f>
        <v>09038-09038</v>
      </c>
      <c r="AV194" s="100" t="s">
        <v>2289</v>
      </c>
      <c r="AW194" s="62" t="s">
        <v>2290</v>
      </c>
      <c r="AX194" s="63" t="str">
        <f t="shared" si="23"/>
        <v>632-SAUDI ARABIA</v>
      </c>
    </row>
    <row r="195" spans="2:50" ht="30">
      <c r="B195" s="97" t="s">
        <v>2291</v>
      </c>
      <c r="C195" s="97" t="s">
        <v>2292</v>
      </c>
      <c r="D195" s="75" t="str">
        <f t="shared" si="25"/>
        <v>O1-Two sided cage on wheels with fixing strap</v>
      </c>
      <c r="N195" s="43" t="s">
        <v>2293</v>
      </c>
      <c r="O195" s="44" t="s">
        <v>2294</v>
      </c>
      <c r="P195" s="45" t="str">
        <f t="shared" si="24"/>
        <v>RW-Rwanda</v>
      </c>
      <c r="AE195" s="51"/>
      <c r="AF195" s="52" t="s">
        <v>2295</v>
      </c>
      <c r="AG195" s="52" t="s">
        <v>2295</v>
      </c>
      <c r="AH195" s="53" t="str">
        <f t="shared" si="26"/>
        <v>09039-09039</v>
      </c>
      <c r="AV195" s="100" t="s">
        <v>2296</v>
      </c>
      <c r="AW195" s="62" t="s">
        <v>2297</v>
      </c>
      <c r="AX195" s="63" t="str">
        <f t="shared" ref="AX195:AX258" si="27">CONCATENATE(AV195,"-",AW195)</f>
        <v>636-KUWAIT</v>
      </c>
    </row>
    <row r="196" spans="2:50" ht="15">
      <c r="B196" s="97" t="s">
        <v>2298</v>
      </c>
      <c r="C196" s="97" t="s">
        <v>2299</v>
      </c>
      <c r="D196" s="75" t="str">
        <f t="shared" si="25"/>
        <v>O2-Trolley</v>
      </c>
      <c r="N196" s="43" t="s">
        <v>2300</v>
      </c>
      <c r="O196" s="44" t="s">
        <v>2301</v>
      </c>
      <c r="P196" s="45" t="str">
        <f t="shared" si="24"/>
        <v>SA-Saudi Arabia</v>
      </c>
      <c r="AE196" s="51"/>
      <c r="AF196" s="52" t="s">
        <v>2302</v>
      </c>
      <c r="AG196" s="52" t="s">
        <v>2302</v>
      </c>
      <c r="AH196" s="53" t="str">
        <f t="shared" si="26"/>
        <v>09040-09040</v>
      </c>
      <c r="AV196" s="100" t="s">
        <v>2303</v>
      </c>
      <c r="AW196" s="62" t="s">
        <v>2304</v>
      </c>
      <c r="AX196" s="63" t="str">
        <f t="shared" si="27"/>
        <v>640-BAHRAIN</v>
      </c>
    </row>
    <row r="197" spans="2:50" ht="15">
      <c r="B197" s="97" t="s">
        <v>2305</v>
      </c>
      <c r="C197" s="97" t="s">
        <v>2306</v>
      </c>
      <c r="D197" s="75" t="str">
        <f t="shared" si="25"/>
        <v>O3-Oneway pallet ISO 0 - 1/2 EURO Pallet</v>
      </c>
      <c r="N197" s="43" t="s">
        <v>2307</v>
      </c>
      <c r="O197" s="44" t="s">
        <v>2308</v>
      </c>
      <c r="P197" s="45" t="str">
        <f t="shared" ref="P197:P256" si="28">CONCATENATE(N197,"-",O197)</f>
        <v>SB-Solomon Is</v>
      </c>
      <c r="AE197" s="51"/>
      <c r="AF197" s="52" t="s">
        <v>2309</v>
      </c>
      <c r="AG197" s="52" t="s">
        <v>2309</v>
      </c>
      <c r="AH197" s="53" t="str">
        <f t="shared" si="26"/>
        <v>10000-10000</v>
      </c>
      <c r="AV197" s="100" t="s">
        <v>2310</v>
      </c>
      <c r="AW197" s="62" t="s">
        <v>2311</v>
      </c>
      <c r="AX197" s="63" t="str">
        <f t="shared" si="27"/>
        <v>644-QATAR</v>
      </c>
    </row>
    <row r="198" spans="2:50" ht="15">
      <c r="B198" s="97" t="s">
        <v>2312</v>
      </c>
      <c r="C198" s="97" t="s">
        <v>2313</v>
      </c>
      <c r="D198" s="75" t="str">
        <f t="shared" si="25"/>
        <v>O4-Oneway pallet ISO 1 - 1/1 EURO Pallet</v>
      </c>
      <c r="N198" s="43" t="s">
        <v>2314</v>
      </c>
      <c r="O198" s="44" t="s">
        <v>2315</v>
      </c>
      <c r="P198" s="45" t="str">
        <f t="shared" si="28"/>
        <v>SC-Seychelles</v>
      </c>
      <c r="AE198" s="51"/>
      <c r="AF198" s="52" t="s">
        <v>2316</v>
      </c>
      <c r="AG198" s="52" t="s">
        <v>2316</v>
      </c>
      <c r="AH198" s="53" t="str">
        <f t="shared" si="26"/>
        <v>10001-10001</v>
      </c>
      <c r="AV198" s="100" t="s">
        <v>2317</v>
      </c>
      <c r="AW198" s="62" t="s">
        <v>2318</v>
      </c>
      <c r="AX198" s="63" t="str">
        <f t="shared" si="27"/>
        <v>647-UNITED ARAB EMIRATES</v>
      </c>
    </row>
    <row r="199" spans="2:50" ht="15">
      <c r="B199" s="97" t="s">
        <v>2319</v>
      </c>
      <c r="C199" s="97" t="s">
        <v>2320</v>
      </c>
      <c r="D199" s="75" t="str">
        <f t="shared" si="25"/>
        <v>O5-Oneway pallet ISO 2 - 2/1 EURO Pallet</v>
      </c>
      <c r="N199" s="43" t="s">
        <v>2321</v>
      </c>
      <c r="O199" s="44" t="s">
        <v>2322</v>
      </c>
      <c r="P199" s="45" t="str">
        <f t="shared" si="28"/>
        <v>SD-Sudan</v>
      </c>
      <c r="AE199" s="51"/>
      <c r="AF199" s="52" t="s">
        <v>2323</v>
      </c>
      <c r="AG199" s="52" t="s">
        <v>2323</v>
      </c>
      <c r="AH199" s="53" t="str">
        <f t="shared" si="26"/>
        <v>10011-10011</v>
      </c>
      <c r="AV199" s="100" t="s">
        <v>2324</v>
      </c>
      <c r="AW199" s="62" t="s">
        <v>2325</v>
      </c>
      <c r="AX199" s="63" t="str">
        <f t="shared" si="27"/>
        <v>648-DUBAI</v>
      </c>
    </row>
    <row r="200" spans="2:50" ht="15">
      <c r="B200" s="97" t="s">
        <v>2326</v>
      </c>
      <c r="C200" s="97" t="s">
        <v>2327</v>
      </c>
      <c r="D200" s="75" t="str">
        <f t="shared" si="25"/>
        <v>O6-Pallet with exceptional dimensions</v>
      </c>
      <c r="N200" s="43" t="s">
        <v>2328</v>
      </c>
      <c r="O200" s="44" t="s">
        <v>2329</v>
      </c>
      <c r="P200" s="45" t="str">
        <f t="shared" si="28"/>
        <v>SE-Swedish</v>
      </c>
      <c r="AE200" s="51"/>
      <c r="AF200" s="52" t="s">
        <v>2330</v>
      </c>
      <c r="AG200" s="52" t="s">
        <v>2330</v>
      </c>
      <c r="AH200" s="53" t="str">
        <f t="shared" si="26"/>
        <v>10012-10012</v>
      </c>
      <c r="AV200" s="100" t="s">
        <v>2331</v>
      </c>
      <c r="AW200" s="62" t="s">
        <v>2332</v>
      </c>
      <c r="AX200" s="63" t="str">
        <f t="shared" si="27"/>
        <v>649-UMMAN</v>
      </c>
    </row>
    <row r="201" spans="2:50" ht="15">
      <c r="B201" s="97" t="s">
        <v>2333</v>
      </c>
      <c r="C201" s="97" t="s">
        <v>2334</v>
      </c>
      <c r="D201" s="75" t="str">
        <f t="shared" si="25"/>
        <v>O7-Wooden pallet 40 cm x 80 cm</v>
      </c>
      <c r="N201" s="43" t="s">
        <v>2335</v>
      </c>
      <c r="O201" s="44" t="s">
        <v>2336</v>
      </c>
      <c r="P201" s="45" t="str">
        <f t="shared" si="28"/>
        <v>SG-Singapore</v>
      </c>
      <c r="AE201" s="51"/>
      <c r="AF201" s="52" t="s">
        <v>2337</v>
      </c>
      <c r="AG201" s="52" t="s">
        <v>2337</v>
      </c>
      <c r="AH201" s="53" t="str">
        <f t="shared" si="26"/>
        <v>10013-10013</v>
      </c>
      <c r="AV201" s="100" t="s">
        <v>2338</v>
      </c>
      <c r="AW201" s="62" t="s">
        <v>2339</v>
      </c>
      <c r="AX201" s="63" t="str">
        <f t="shared" si="27"/>
        <v>653-YEMEN</v>
      </c>
    </row>
    <row r="202" spans="2:50" ht="15">
      <c r="B202" s="97" t="s">
        <v>2340</v>
      </c>
      <c r="C202" s="97" t="s">
        <v>2341</v>
      </c>
      <c r="D202" s="75" t="str">
        <f t="shared" si="25"/>
        <v>O8-Plastic pallet SRS 60 cm x 80 cm</v>
      </c>
      <c r="N202" s="43" t="s">
        <v>2342</v>
      </c>
      <c r="O202" s="44" t="s">
        <v>2343</v>
      </c>
      <c r="P202" s="45" t="str">
        <f t="shared" si="28"/>
        <v>SH-Saint Helena</v>
      </c>
      <c r="AE202" s="51"/>
      <c r="AF202" s="52" t="s">
        <v>2344</v>
      </c>
      <c r="AG202" s="52" t="s">
        <v>2344</v>
      </c>
      <c r="AH202" s="53" t="str">
        <f t="shared" si="26"/>
        <v>10014-10014</v>
      </c>
      <c r="AV202" s="100" t="s">
        <v>2345</v>
      </c>
      <c r="AW202" s="62" t="s">
        <v>2346</v>
      </c>
      <c r="AX202" s="63" t="str">
        <f t="shared" si="27"/>
        <v>660-AFGHANISTAN</v>
      </c>
    </row>
    <row r="203" spans="2:50" ht="15">
      <c r="B203" s="97" t="s">
        <v>2347</v>
      </c>
      <c r="C203" s="97" t="s">
        <v>2348</v>
      </c>
      <c r="D203" s="75" t="str">
        <f t="shared" si="25"/>
        <v>O9-Plastic pallet SRS 80 cm x 120 cm</v>
      </c>
      <c r="N203" s="43" t="s">
        <v>2349</v>
      </c>
      <c r="O203" s="44" t="s">
        <v>2350</v>
      </c>
      <c r="P203" s="45" t="str">
        <f t="shared" si="28"/>
        <v>SI-Slovenian</v>
      </c>
      <c r="AE203" s="51"/>
      <c r="AF203" s="52" t="s">
        <v>2351</v>
      </c>
      <c r="AG203" s="52" t="s">
        <v>2351</v>
      </c>
      <c r="AH203" s="53" t="str">
        <f t="shared" si="26"/>
        <v>10015-10015</v>
      </c>
      <c r="AV203" s="100" t="s">
        <v>2352</v>
      </c>
      <c r="AW203" s="62" t="s">
        <v>2353</v>
      </c>
      <c r="AX203" s="63" t="str">
        <f t="shared" si="27"/>
        <v>662-PAKISTAN</v>
      </c>
    </row>
    <row r="204" spans="2:50" ht="15">
      <c r="B204" s="97" t="s">
        <v>2354</v>
      </c>
      <c r="C204" s="97" t="s">
        <v>2355</v>
      </c>
      <c r="D204" s="75" t="str">
        <f t="shared" si="25"/>
        <v>OA-Paleta, CHEP 40 cm x 60 cm</v>
      </c>
      <c r="N204" s="43" t="s">
        <v>2356</v>
      </c>
      <c r="O204" s="44" t="s">
        <v>2357</v>
      </c>
      <c r="P204" s="45" t="str">
        <f t="shared" si="28"/>
        <v>SJ-Svalbard and Jan Mayen</v>
      </c>
      <c r="AE204" s="51"/>
      <c r="AF204" s="52" t="s">
        <v>2358</v>
      </c>
      <c r="AG204" s="52" t="s">
        <v>2358</v>
      </c>
      <c r="AH204" s="53" t="str">
        <f t="shared" si="26"/>
        <v>10017-10017</v>
      </c>
      <c r="AV204" s="100" t="s">
        <v>2359</v>
      </c>
      <c r="AW204" s="62" t="s">
        <v>2360</v>
      </c>
      <c r="AX204" s="63" t="str">
        <f t="shared" si="27"/>
        <v>664-INDIA</v>
      </c>
    </row>
    <row r="205" spans="2:50" ht="15">
      <c r="B205" s="97" t="s">
        <v>2361</v>
      </c>
      <c r="C205" s="97" t="s">
        <v>2362</v>
      </c>
      <c r="D205" s="75" t="str">
        <f t="shared" si="25"/>
        <v>OB-Paleta, CHEP 80 cm x 120 cm</v>
      </c>
      <c r="N205" s="43" t="s">
        <v>2363</v>
      </c>
      <c r="O205" s="44" t="s">
        <v>2364</v>
      </c>
      <c r="P205" s="45" t="str">
        <f t="shared" si="28"/>
        <v>SK-Slovak</v>
      </c>
      <c r="AE205" s="51"/>
      <c r="AF205" s="52" t="s">
        <v>2365</v>
      </c>
      <c r="AG205" s="52" t="s">
        <v>2365</v>
      </c>
      <c r="AH205" s="53" t="str">
        <f t="shared" si="26"/>
        <v>10018-10018</v>
      </c>
      <c r="AV205" s="100" t="s">
        <v>2366</v>
      </c>
      <c r="AW205" s="62" t="s">
        <v>2367</v>
      </c>
      <c r="AX205" s="63" t="str">
        <f t="shared" si="27"/>
        <v>666-BANGLADESH</v>
      </c>
    </row>
    <row r="206" spans="2:50" ht="15">
      <c r="B206" s="97" t="s">
        <v>2368</v>
      </c>
      <c r="C206" s="97" t="s">
        <v>2369</v>
      </c>
      <c r="D206" s="75" t="str">
        <f t="shared" si="25"/>
        <v>OC-Paleta, CHEP 100 cm x 120 cm</v>
      </c>
      <c r="N206" s="43" t="s">
        <v>2370</v>
      </c>
      <c r="O206" s="44" t="s">
        <v>2371</v>
      </c>
      <c r="P206" s="45" t="str">
        <f t="shared" si="28"/>
        <v>SL-Sierra Leone</v>
      </c>
      <c r="AE206" s="51"/>
      <c r="AF206" s="52" t="s">
        <v>2372</v>
      </c>
      <c r="AG206" s="52" t="s">
        <v>2372</v>
      </c>
      <c r="AH206" s="53" t="str">
        <f t="shared" si="26"/>
        <v>10020-10020</v>
      </c>
      <c r="AV206" s="100" t="s">
        <v>2373</v>
      </c>
      <c r="AW206" s="62" t="s">
        <v>2374</v>
      </c>
      <c r="AX206" s="63" t="str">
        <f t="shared" si="27"/>
        <v>667-MALDIVES</v>
      </c>
    </row>
    <row r="207" spans="2:50" ht="15">
      <c r="B207" s="97" t="s">
        <v>2375</v>
      </c>
      <c r="C207" s="97" t="s">
        <v>2376</v>
      </c>
      <c r="D207" s="75" t="str">
        <f t="shared" si="25"/>
        <v>OD-Paleta, AS 4068-1993</v>
      </c>
      <c r="N207" s="43" t="s">
        <v>2377</v>
      </c>
      <c r="O207" s="44" t="s">
        <v>2378</v>
      </c>
      <c r="P207" s="45" t="str">
        <f t="shared" si="28"/>
        <v>SM-San Marino</v>
      </c>
      <c r="AE207" s="51"/>
      <c r="AF207" s="52" t="s">
        <v>2379</v>
      </c>
      <c r="AG207" s="52" t="s">
        <v>2379</v>
      </c>
      <c r="AH207" s="53" t="str">
        <f t="shared" si="26"/>
        <v>10021-10021</v>
      </c>
      <c r="AV207" s="100" t="s">
        <v>2380</v>
      </c>
      <c r="AW207" s="62" t="s">
        <v>2381</v>
      </c>
      <c r="AX207" s="63" t="str">
        <f t="shared" si="27"/>
        <v>669-SRI LANKA</v>
      </c>
    </row>
    <row r="208" spans="2:50" ht="15">
      <c r="B208" s="97" t="s">
        <v>2382</v>
      </c>
      <c r="C208" s="97" t="s">
        <v>2383</v>
      </c>
      <c r="D208" s="75" t="str">
        <f t="shared" si="25"/>
        <v>OE-Paleta, ISO T11</v>
      </c>
      <c r="N208" s="43" t="s">
        <v>2384</v>
      </c>
      <c r="O208" s="44" t="s">
        <v>2385</v>
      </c>
      <c r="P208" s="45" t="str">
        <f t="shared" si="28"/>
        <v>SN-Senegal</v>
      </c>
      <c r="AE208" s="51"/>
      <c r="AF208" s="52" t="s">
        <v>2386</v>
      </c>
      <c r="AG208" s="52" t="s">
        <v>2386</v>
      </c>
      <c r="AH208" s="53" t="str">
        <f t="shared" si="26"/>
        <v>10022-10022</v>
      </c>
      <c r="AV208" s="100" t="s">
        <v>2387</v>
      </c>
      <c r="AW208" s="62" t="s">
        <v>2388</v>
      </c>
      <c r="AX208" s="63" t="str">
        <f t="shared" si="27"/>
        <v>672-NEPAL</v>
      </c>
    </row>
    <row r="209" spans="2:50" ht="30">
      <c r="B209" s="97" t="s">
        <v>2389</v>
      </c>
      <c r="C209" s="97" t="s">
        <v>2390</v>
      </c>
      <c r="D209" s="75" t="str">
        <f t="shared" si="25"/>
        <v>OF-Plataforma de peso o dimensión indeterminados</v>
      </c>
      <c r="N209" s="43" t="s">
        <v>2391</v>
      </c>
      <c r="O209" s="44" t="s">
        <v>2392</v>
      </c>
      <c r="P209" s="45" t="str">
        <f t="shared" si="28"/>
        <v>SO-Somalia</v>
      </c>
      <c r="AE209" s="51"/>
      <c r="AF209" s="52" t="s">
        <v>2393</v>
      </c>
      <c r="AG209" s="52" t="s">
        <v>2393</v>
      </c>
      <c r="AH209" s="53" t="str">
        <f t="shared" si="26"/>
        <v>10023-10023</v>
      </c>
      <c r="AV209" s="100" t="s">
        <v>2394</v>
      </c>
      <c r="AW209" s="62" t="s">
        <v>2395</v>
      </c>
      <c r="AX209" s="63" t="str">
        <f t="shared" si="27"/>
        <v>675-BHUTAN</v>
      </c>
    </row>
    <row r="210" spans="2:50" ht="15">
      <c r="B210" s="97" t="s">
        <v>2396</v>
      </c>
      <c r="C210" s="97" t="s">
        <v>2397</v>
      </c>
      <c r="D210" s="75" t="str">
        <f t="shared" si="25"/>
        <v>OG-Pallet ISO 0 - 1/2 EURO Pallet</v>
      </c>
      <c r="N210" s="43" t="s">
        <v>2398</v>
      </c>
      <c r="O210" s="44" t="s">
        <v>2399</v>
      </c>
      <c r="P210" s="45" t="str">
        <f t="shared" si="28"/>
        <v>SR-Suriname</v>
      </c>
      <c r="AE210" s="51"/>
      <c r="AF210" s="52" t="s">
        <v>2400</v>
      </c>
      <c r="AG210" s="52" t="s">
        <v>2400</v>
      </c>
      <c r="AH210" s="53" t="str">
        <f t="shared" si="26"/>
        <v>10024-10024</v>
      </c>
      <c r="AV210" s="100" t="s">
        <v>2401</v>
      </c>
      <c r="AW210" s="62" t="s">
        <v>2402</v>
      </c>
      <c r="AX210" s="63" t="str">
        <f t="shared" si="27"/>
        <v>676-MYANMAR (BURMA)</v>
      </c>
    </row>
    <row r="211" spans="2:50" ht="15">
      <c r="B211" s="97" t="s">
        <v>2403</v>
      </c>
      <c r="C211" s="97" t="s">
        <v>2404</v>
      </c>
      <c r="D211" s="75" t="str">
        <f t="shared" si="25"/>
        <v>OH-Pallet ISO 1 - 1/1 EURO Pallet</v>
      </c>
      <c r="N211" s="90" t="s">
        <v>2405</v>
      </c>
      <c r="O211" s="90" t="s">
        <v>2406</v>
      </c>
      <c r="P211" s="90" t="str">
        <f t="shared" si="28"/>
        <v>SS-South Sudan</v>
      </c>
      <c r="AE211" s="51"/>
      <c r="AF211" s="52" t="s">
        <v>2407</v>
      </c>
      <c r="AG211" s="52" t="s">
        <v>2407</v>
      </c>
      <c r="AH211" s="53" t="str">
        <f t="shared" si="26"/>
        <v>10025-10025</v>
      </c>
      <c r="AV211" s="100" t="s">
        <v>2408</v>
      </c>
      <c r="AW211" s="62" t="s">
        <v>2409</v>
      </c>
      <c r="AX211" s="63" t="str">
        <f t="shared" si="27"/>
        <v>680-THAILAND</v>
      </c>
    </row>
    <row r="212" spans="2:50" ht="15">
      <c r="B212" s="97" t="s">
        <v>2410</v>
      </c>
      <c r="C212" s="97" t="s">
        <v>2411</v>
      </c>
      <c r="D212" s="75" t="str">
        <f t="shared" si="25"/>
        <v>OI-Pallet ISO 2 – 2/1 EURO Pallet</v>
      </c>
      <c r="N212" s="43" t="s">
        <v>2412</v>
      </c>
      <c r="O212" s="44" t="s">
        <v>2413</v>
      </c>
      <c r="P212" s="45" t="str">
        <f t="shared" si="28"/>
        <v>ST-Sao Tome and Principe</v>
      </c>
      <c r="AE212" s="51"/>
      <c r="AF212" s="52" t="s">
        <v>2414</v>
      </c>
      <c r="AG212" s="52" t="s">
        <v>2414</v>
      </c>
      <c r="AH212" s="53" t="str">
        <f t="shared" si="26"/>
        <v>10026-10026</v>
      </c>
      <c r="AV212" s="100" t="s">
        <v>2415</v>
      </c>
      <c r="AW212" s="62" t="s">
        <v>2416</v>
      </c>
      <c r="AX212" s="63" t="str">
        <f t="shared" si="27"/>
        <v>684-LAOS</v>
      </c>
    </row>
    <row r="213" spans="2:50" ht="15">
      <c r="B213" s="97" t="s">
        <v>2417</v>
      </c>
      <c r="C213" s="97" t="s">
        <v>2418</v>
      </c>
      <c r="D213" s="75" t="str">
        <f t="shared" si="25"/>
        <v>OJ-1/4 EURO Pallet</v>
      </c>
      <c r="N213" s="43" t="s">
        <v>2419</v>
      </c>
      <c r="O213" s="44" t="s">
        <v>2420</v>
      </c>
      <c r="P213" s="45" t="str">
        <f t="shared" si="28"/>
        <v>SV-El Salvador</v>
      </c>
      <c r="AE213" s="51"/>
      <c r="AF213" s="52" t="s">
        <v>2421</v>
      </c>
      <c r="AG213" s="52" t="s">
        <v>2421</v>
      </c>
      <c r="AH213" s="53" t="str">
        <f t="shared" si="26"/>
        <v>10041-10041</v>
      </c>
      <c r="AV213" s="100" t="s">
        <v>2422</v>
      </c>
      <c r="AW213" s="62" t="s">
        <v>2423</v>
      </c>
      <c r="AX213" s="63" t="str">
        <f t="shared" si="27"/>
        <v>690-VIETNAM</v>
      </c>
    </row>
    <row r="214" spans="2:50" ht="15">
      <c r="B214" s="97" t="s">
        <v>2424</v>
      </c>
      <c r="C214" s="97" t="s">
        <v>2425</v>
      </c>
      <c r="D214" s="75" t="str">
        <f t="shared" si="25"/>
        <v>OK-Bloque</v>
      </c>
      <c r="N214" s="90" t="s">
        <v>2426</v>
      </c>
      <c r="O214" s="90" t="s">
        <v>2427</v>
      </c>
      <c r="P214" s="90" t="str">
        <f t="shared" si="28"/>
        <v>SX-Sint Maarten (Dutch part)</v>
      </c>
      <c r="AE214" s="51"/>
      <c r="AF214" s="52" t="s">
        <v>2428</v>
      </c>
      <c r="AG214" s="52" t="s">
        <v>2428</v>
      </c>
      <c r="AH214" s="53" t="str">
        <f t="shared" si="26"/>
        <v>10042-10042</v>
      </c>
      <c r="AV214" s="100" t="s">
        <v>2429</v>
      </c>
      <c r="AW214" s="62" t="s">
        <v>2430</v>
      </c>
      <c r="AX214" s="63" t="str">
        <f t="shared" si="27"/>
        <v>696-CAMBODIA</v>
      </c>
    </row>
    <row r="215" spans="2:50" ht="15">
      <c r="B215" s="97" t="s">
        <v>2431</v>
      </c>
      <c r="C215" s="97" t="s">
        <v>2432</v>
      </c>
      <c r="D215" s="75" t="str">
        <f t="shared" si="25"/>
        <v>OL-1/8 EURO Pallet</v>
      </c>
      <c r="N215" s="43" t="s">
        <v>2433</v>
      </c>
      <c r="O215" s="44" t="s">
        <v>2434</v>
      </c>
      <c r="P215" s="45" t="str">
        <f t="shared" si="28"/>
        <v>SY-Syrian Arab Republic</v>
      </c>
      <c r="AE215" s="51"/>
      <c r="AF215" s="52" t="s">
        <v>2435</v>
      </c>
      <c r="AG215" s="52" t="s">
        <v>2435</v>
      </c>
      <c r="AH215" s="53" t="str">
        <f t="shared" si="26"/>
        <v>10043-10043</v>
      </c>
      <c r="AV215" s="100" t="s">
        <v>2436</v>
      </c>
      <c r="AW215" s="62" t="s">
        <v>2437</v>
      </c>
      <c r="AX215" s="63" t="str">
        <f t="shared" si="27"/>
        <v>700-INDONESIA</v>
      </c>
    </row>
    <row r="216" spans="2:50" ht="15">
      <c r="B216" s="97" t="s">
        <v>2144</v>
      </c>
      <c r="C216" s="97" t="s">
        <v>2438</v>
      </c>
      <c r="D216" s="75" t="str">
        <f t="shared" si="25"/>
        <v>OM-Synthetic pallet ISO 1</v>
      </c>
      <c r="N216" s="43" t="s">
        <v>2439</v>
      </c>
      <c r="O216" s="44" t="s">
        <v>2440</v>
      </c>
      <c r="P216" s="45" t="str">
        <f t="shared" si="28"/>
        <v>SZ-Swaziland</v>
      </c>
      <c r="AE216" s="51"/>
      <c r="AF216" s="52" t="s">
        <v>2441</v>
      </c>
      <c r="AG216" s="52" t="s">
        <v>2441</v>
      </c>
      <c r="AH216" s="53" t="str">
        <f t="shared" si="26"/>
        <v>10044-10044</v>
      </c>
      <c r="AV216" s="100" t="s">
        <v>2442</v>
      </c>
      <c r="AW216" s="62" t="s">
        <v>2443</v>
      </c>
      <c r="AX216" s="63" t="str">
        <f t="shared" si="27"/>
        <v>701-MALAYSIA</v>
      </c>
    </row>
    <row r="217" spans="2:50" ht="15">
      <c r="B217" s="97" t="s">
        <v>2444</v>
      </c>
      <c r="C217" s="97" t="s">
        <v>2445</v>
      </c>
      <c r="D217" s="75" t="str">
        <f t="shared" si="25"/>
        <v>ON-Synthetic pallet ISO 2</v>
      </c>
      <c r="N217" s="43" t="s">
        <v>2446</v>
      </c>
      <c r="O217" s="44" t="s">
        <v>2447</v>
      </c>
      <c r="P217" s="45" t="str">
        <f t="shared" si="28"/>
        <v>TC-Turks and Caicos Is</v>
      </c>
      <c r="AE217" s="51"/>
      <c r="AF217" s="52" t="s">
        <v>2448</v>
      </c>
      <c r="AG217" s="52" t="s">
        <v>2448</v>
      </c>
      <c r="AH217" s="53" t="str">
        <f t="shared" si="26"/>
        <v>10045-10045</v>
      </c>
      <c r="AV217" s="100" t="s">
        <v>2449</v>
      </c>
      <c r="AW217" s="62" t="s">
        <v>2450</v>
      </c>
      <c r="AX217" s="63" t="str">
        <f t="shared" si="27"/>
        <v>703-BRUNEI</v>
      </c>
    </row>
    <row r="218" spans="2:50" ht="15">
      <c r="B218" s="97" t="s">
        <v>2451</v>
      </c>
      <c r="C218" s="97" t="s">
        <v>2452</v>
      </c>
      <c r="D218" s="75" t="str">
        <f t="shared" si="25"/>
        <v>OP-Wholesaler pallet</v>
      </c>
      <c r="N218" s="43" t="s">
        <v>2453</v>
      </c>
      <c r="O218" s="44" t="s">
        <v>2454</v>
      </c>
      <c r="P218" s="45" t="str">
        <f t="shared" si="28"/>
        <v>TD-Chad</v>
      </c>
      <c r="AE218" s="51"/>
      <c r="AF218" s="52" t="s">
        <v>2455</v>
      </c>
      <c r="AG218" s="52" t="s">
        <v>2455</v>
      </c>
      <c r="AH218" s="53" t="str">
        <f t="shared" si="26"/>
        <v>10046-10046</v>
      </c>
      <c r="AV218" s="100" t="s">
        <v>2456</v>
      </c>
      <c r="AW218" s="62" t="s">
        <v>2457</v>
      </c>
      <c r="AX218" s="63" t="str">
        <f t="shared" si="27"/>
        <v>706-SINGAPUR</v>
      </c>
    </row>
    <row r="219" spans="2:50" ht="15">
      <c r="B219" s="97" t="s">
        <v>2458</v>
      </c>
      <c r="C219" s="97" t="s">
        <v>2459</v>
      </c>
      <c r="D219" s="75" t="str">
        <f t="shared" si="25"/>
        <v>OQ-Pallet 80 X 100 cm</v>
      </c>
      <c r="N219" s="43" t="s">
        <v>2460</v>
      </c>
      <c r="O219" s="44" t="s">
        <v>2461</v>
      </c>
      <c r="P219" s="45" t="str">
        <f t="shared" si="28"/>
        <v>TF-French S Terr</v>
      </c>
      <c r="AE219" s="51"/>
      <c r="AF219" s="52" t="s">
        <v>2462</v>
      </c>
      <c r="AG219" s="52" t="s">
        <v>2462</v>
      </c>
      <c r="AH219" s="53" t="str">
        <f t="shared" si="26"/>
        <v>10050-10050</v>
      </c>
      <c r="AV219" s="100" t="s">
        <v>2463</v>
      </c>
      <c r="AW219" s="62" t="s">
        <v>2464</v>
      </c>
      <c r="AX219" s="63" t="str">
        <f t="shared" si="27"/>
        <v>708-PALESTINIAN</v>
      </c>
    </row>
    <row r="220" spans="2:50" ht="15">
      <c r="B220" s="97" t="s">
        <v>2465</v>
      </c>
      <c r="C220" s="97" t="s">
        <v>2466</v>
      </c>
      <c r="D220" s="75" t="str">
        <f t="shared" si="25"/>
        <v>OR-Pallet 60 X 100 cm</v>
      </c>
      <c r="N220" s="43" t="s">
        <v>2467</v>
      </c>
      <c r="O220" s="44" t="s">
        <v>2468</v>
      </c>
      <c r="P220" s="45" t="str">
        <f t="shared" si="28"/>
        <v>TG-Togo</v>
      </c>
      <c r="AE220" s="51"/>
      <c r="AF220" s="52" t="s">
        <v>2469</v>
      </c>
      <c r="AG220" s="52" t="s">
        <v>2469</v>
      </c>
      <c r="AH220" s="53" t="str">
        <f t="shared" si="26"/>
        <v>10051-10051</v>
      </c>
      <c r="AV220" s="100" t="s">
        <v>2470</v>
      </c>
      <c r="AW220" s="62" t="s">
        <v>2471</v>
      </c>
      <c r="AX220" s="63" t="str">
        <f t="shared" si="27"/>
        <v>716-MONGOLIA</v>
      </c>
    </row>
    <row r="221" spans="2:50" ht="15">
      <c r="B221" s="97" t="s">
        <v>2472</v>
      </c>
      <c r="C221" s="97" t="s">
        <v>2473</v>
      </c>
      <c r="D221" s="75" t="str">
        <f t="shared" si="25"/>
        <v>OS-Oneway pallet</v>
      </c>
      <c r="N221" s="43" t="s">
        <v>2474</v>
      </c>
      <c r="O221" s="44" t="s">
        <v>2475</v>
      </c>
      <c r="P221" s="45" t="str">
        <f t="shared" si="28"/>
        <v>TH-Thailand</v>
      </c>
      <c r="AF221" s="53"/>
      <c r="AG221" s="105"/>
      <c r="AH221" s="53"/>
      <c r="AV221" s="100" t="s">
        <v>2476</v>
      </c>
      <c r="AW221" s="62" t="s">
        <v>2477</v>
      </c>
      <c r="AX221" s="63" t="str">
        <f t="shared" si="27"/>
        <v>720-REPUBLIC OF CHINA</v>
      </c>
    </row>
    <row r="222" spans="2:50" ht="30">
      <c r="B222" s="97" t="s">
        <v>2478</v>
      </c>
      <c r="C222" s="97" t="s">
        <v>2479</v>
      </c>
      <c r="D222" s="75" t="str">
        <f t="shared" si="25"/>
        <v>OT-Gran contenedor de cartón octogonal (octabin)</v>
      </c>
      <c r="N222" s="43" t="s">
        <v>2480</v>
      </c>
      <c r="O222" s="44" t="s">
        <v>2481</v>
      </c>
      <c r="P222" s="45" t="str">
        <f t="shared" si="28"/>
        <v>TJ-Tajikistan</v>
      </c>
      <c r="AF222" s="53"/>
      <c r="AG222" s="105"/>
      <c r="AH222" s="53"/>
      <c r="AV222" s="100" t="s">
        <v>2482</v>
      </c>
      <c r="AW222" s="62" t="s">
        <v>2483</v>
      </c>
      <c r="AX222" s="63" t="str">
        <f t="shared" si="27"/>
        <v xml:space="preserve">724-Korea, Democratic People's Republic of </v>
      </c>
    </row>
    <row r="223" spans="2:50" ht="26.25">
      <c r="B223" s="97" t="s">
        <v>2484</v>
      </c>
      <c r="C223" s="97" t="s">
        <v>2485</v>
      </c>
      <c r="D223" s="75" t="str">
        <f t="shared" ref="D223:D286" si="29">CONCATENATE(B223,"-",C223)</f>
        <v>OU-Contenedor exterior</v>
      </c>
      <c r="N223" s="43" t="s">
        <v>2486</v>
      </c>
      <c r="O223" s="44" t="s">
        <v>2487</v>
      </c>
      <c r="P223" s="45" t="str">
        <f t="shared" si="28"/>
        <v>TK-Tokelau</v>
      </c>
      <c r="AF223" s="53"/>
      <c r="AG223" s="105"/>
      <c r="AH223" s="53"/>
      <c r="AV223" s="100" t="s">
        <v>2488</v>
      </c>
      <c r="AW223" s="63" t="s">
        <v>2489</v>
      </c>
      <c r="AX223" s="63" t="str">
        <f t="shared" si="27"/>
        <v>728-Korea, Republic of 
Often referred to as South Korea</v>
      </c>
    </row>
    <row r="224" spans="2:50" ht="15">
      <c r="B224" s="97" t="s">
        <v>2490</v>
      </c>
      <c r="C224" s="97" t="s">
        <v>2491</v>
      </c>
      <c r="D224" s="75" t="str">
        <f t="shared" si="29"/>
        <v>OV-Returnable pallet</v>
      </c>
      <c r="N224" s="43" t="s">
        <v>2492</v>
      </c>
      <c r="O224" s="44" t="s">
        <v>2493</v>
      </c>
      <c r="P224" s="45" t="str">
        <f t="shared" si="28"/>
        <v>TL-Timor-Leste</v>
      </c>
      <c r="AF224" s="53"/>
      <c r="AG224" s="105"/>
      <c r="AH224" s="53"/>
      <c r="AV224" s="100" t="s">
        <v>2494</v>
      </c>
      <c r="AW224" s="62" t="s">
        <v>2495</v>
      </c>
      <c r="AX224" s="63" t="str">
        <f t="shared" si="27"/>
        <v>732-JAPAN</v>
      </c>
    </row>
    <row r="225" spans="2:50" ht="15">
      <c r="B225" s="97" t="s">
        <v>2496</v>
      </c>
      <c r="C225" s="97" t="s">
        <v>2497</v>
      </c>
      <c r="D225" s="75" t="str">
        <f t="shared" si="29"/>
        <v>OW-Large bag, pallet sized</v>
      </c>
      <c r="N225" s="43" t="s">
        <v>2498</v>
      </c>
      <c r="O225" s="44" t="s">
        <v>2499</v>
      </c>
      <c r="P225" s="45" t="str">
        <f t="shared" si="28"/>
        <v>TM-Turkmenistan</v>
      </c>
      <c r="AF225" s="53"/>
      <c r="AG225" s="105"/>
      <c r="AH225" s="53"/>
      <c r="AV225" s="100" t="s">
        <v>2500</v>
      </c>
      <c r="AW225" s="62" t="s">
        <v>2501</v>
      </c>
      <c r="AX225" s="63" t="str">
        <f t="shared" si="27"/>
        <v>736-TAIWAN</v>
      </c>
    </row>
    <row r="226" spans="2:50" ht="30">
      <c r="B226" s="97" t="s">
        <v>2502</v>
      </c>
      <c r="C226" s="97" t="s">
        <v>2503</v>
      </c>
      <c r="D226" s="75" t="str">
        <f t="shared" si="29"/>
        <v>OX-A wheeled pallet with raised rim (81 x 67 x 135)</v>
      </c>
      <c r="N226" s="43" t="s">
        <v>2504</v>
      </c>
      <c r="O226" s="44" t="s">
        <v>2505</v>
      </c>
      <c r="P226" s="45" t="str">
        <f t="shared" si="28"/>
        <v>TN-Tunisia</v>
      </c>
      <c r="AF226" s="53"/>
      <c r="AG226" s="105"/>
      <c r="AH226" s="53"/>
      <c r="AV226" s="100" t="s">
        <v>2506</v>
      </c>
      <c r="AW226" s="62" t="s">
        <v>2507</v>
      </c>
      <c r="AX226" s="63" t="str">
        <f t="shared" si="27"/>
        <v>740-HONG KONG</v>
      </c>
    </row>
    <row r="227" spans="2:50" ht="30">
      <c r="B227" s="97" t="s">
        <v>2508</v>
      </c>
      <c r="C227" s="97" t="s">
        <v>2509</v>
      </c>
      <c r="D227" s="75" t="str">
        <f t="shared" si="29"/>
        <v>OY-A Wheeled pallet with raised rim (81 x 72 x 135)</v>
      </c>
      <c r="N227" s="43" t="s">
        <v>2510</v>
      </c>
      <c r="O227" s="44" t="s">
        <v>2511</v>
      </c>
      <c r="P227" s="45" t="str">
        <f t="shared" si="28"/>
        <v>TO-Tonga</v>
      </c>
      <c r="AF227" s="53"/>
      <c r="AG227" s="105"/>
      <c r="AH227" s="53"/>
      <c r="AV227" s="100" t="s">
        <v>2512</v>
      </c>
      <c r="AW227" s="62" t="s">
        <v>2513</v>
      </c>
      <c r="AX227" s="63" t="str">
        <f t="shared" si="27"/>
        <v>743-MAKAO</v>
      </c>
    </row>
    <row r="228" spans="2:50" ht="30">
      <c r="B228" s="97" t="s">
        <v>2514</v>
      </c>
      <c r="C228" s="97" t="s">
        <v>2515</v>
      </c>
      <c r="D228" s="75" t="str">
        <f t="shared" si="29"/>
        <v>OZ-Wheeled pallet with raised rim ( 81 x 60 x 16)</v>
      </c>
      <c r="N228" s="43" t="s">
        <v>2516</v>
      </c>
      <c r="O228" s="44" t="s">
        <v>2517</v>
      </c>
      <c r="P228" s="45" t="str">
        <f t="shared" si="28"/>
        <v>TR-Turkish</v>
      </c>
      <c r="AF228" s="53"/>
      <c r="AG228" s="105"/>
      <c r="AH228" s="53"/>
      <c r="AV228" s="100" t="s">
        <v>2518</v>
      </c>
      <c r="AW228" s="62" t="s">
        <v>2519</v>
      </c>
      <c r="AX228" s="63" t="str">
        <f t="shared" si="27"/>
        <v>800-AUSTRALIA</v>
      </c>
    </row>
    <row r="229" spans="2:50" ht="15">
      <c r="B229" s="97" t="s">
        <v>2520</v>
      </c>
      <c r="C229" s="97" t="s">
        <v>2521</v>
      </c>
      <c r="D229" s="75" t="str">
        <f t="shared" si="29"/>
        <v>P1-CHEP pallet 60 cm x 80 cm</v>
      </c>
      <c r="N229" s="43" t="s">
        <v>2522</v>
      </c>
      <c r="O229" s="44" t="s">
        <v>2523</v>
      </c>
      <c r="P229" s="45" t="str">
        <f t="shared" si="28"/>
        <v>TT-Trinidad and Tobago</v>
      </c>
      <c r="AF229" s="53"/>
      <c r="AG229" s="105"/>
      <c r="AH229" s="53"/>
      <c r="AV229" s="100" t="s">
        <v>2524</v>
      </c>
      <c r="AW229" s="62" t="s">
        <v>2525</v>
      </c>
      <c r="AX229" s="63" t="str">
        <f t="shared" si="27"/>
        <v>801-PAPUA NEW GUINEA</v>
      </c>
    </row>
    <row r="230" spans="2:50" ht="15">
      <c r="B230" s="97" t="s">
        <v>2526</v>
      </c>
      <c r="C230" s="97" t="s">
        <v>2527</v>
      </c>
      <c r="D230" s="75" t="str">
        <f t="shared" si="29"/>
        <v>P2-Bandeja (pan)</v>
      </c>
      <c r="N230" s="43" t="s">
        <v>2528</v>
      </c>
      <c r="O230" s="44" t="s">
        <v>2529</v>
      </c>
      <c r="P230" s="45" t="str">
        <f t="shared" si="28"/>
        <v>TV-Tuvalu</v>
      </c>
      <c r="AF230" s="53"/>
      <c r="AG230" s="105"/>
      <c r="AH230" s="53"/>
      <c r="AV230" s="100" t="s">
        <v>2530</v>
      </c>
      <c r="AW230" s="62" t="s">
        <v>2531</v>
      </c>
      <c r="AX230" s="63" t="str">
        <f t="shared" si="27"/>
        <v>803-NAURU</v>
      </c>
    </row>
    <row r="231" spans="2:50" ht="15">
      <c r="B231" s="97" t="s">
        <v>2532</v>
      </c>
      <c r="C231" s="97" t="s">
        <v>2533</v>
      </c>
      <c r="D231" s="75" t="str">
        <f t="shared" si="29"/>
        <v>P3-LPR pallet 60 cm x 80 cm</v>
      </c>
      <c r="N231" s="43" t="s">
        <v>2534</v>
      </c>
      <c r="O231" s="44" t="s">
        <v>2535</v>
      </c>
      <c r="P231" s="45" t="str">
        <f t="shared" si="28"/>
        <v>TW-Taiwan</v>
      </c>
      <c r="AF231" s="53"/>
      <c r="AG231" s="105"/>
      <c r="AH231" s="53"/>
      <c r="AV231" s="100" t="s">
        <v>2536</v>
      </c>
      <c r="AW231" s="62" t="s">
        <v>2537</v>
      </c>
      <c r="AX231" s="63" t="str">
        <f t="shared" si="27"/>
        <v>804-NEW ZELAND</v>
      </c>
    </row>
    <row r="232" spans="2:50" ht="15">
      <c r="B232" s="97" t="s">
        <v>2538</v>
      </c>
      <c r="C232" s="97" t="s">
        <v>2539</v>
      </c>
      <c r="D232" s="75" t="str">
        <f t="shared" si="29"/>
        <v>P4-LPR pallet 80 cm x 120 cm</v>
      </c>
      <c r="N232" s="43" t="s">
        <v>2540</v>
      </c>
      <c r="O232" s="44" t="s">
        <v>2541</v>
      </c>
      <c r="P232" s="45" t="str">
        <f t="shared" si="28"/>
        <v>TZ-Tanzania</v>
      </c>
      <c r="AF232" s="53"/>
      <c r="AG232" s="105"/>
      <c r="AH232" s="53"/>
      <c r="AV232" s="100" t="s">
        <v>2542</v>
      </c>
      <c r="AW232" s="62" t="s">
        <v>2543</v>
      </c>
      <c r="AX232" s="63" t="str">
        <f t="shared" si="27"/>
        <v>806-SOLOMON ISLANDS</v>
      </c>
    </row>
    <row r="233" spans="2:50" ht="15">
      <c r="B233" s="97" t="s">
        <v>2152</v>
      </c>
      <c r="C233" s="97" t="s">
        <v>2544</v>
      </c>
      <c r="D233" s="75" t="str">
        <f t="shared" si="29"/>
        <v>PA-Packet</v>
      </c>
      <c r="N233" s="43" t="s">
        <v>2545</v>
      </c>
      <c r="O233" s="44" t="s">
        <v>2546</v>
      </c>
      <c r="P233" s="45" t="str">
        <f t="shared" si="28"/>
        <v>UA-Ukrainian</v>
      </c>
      <c r="AF233" s="53"/>
      <c r="AG233" s="105"/>
      <c r="AH233" s="53"/>
      <c r="AV233" s="100" t="s">
        <v>2547</v>
      </c>
      <c r="AW233" s="62" t="s">
        <v>2548</v>
      </c>
      <c r="AX233" s="63" t="str">
        <f t="shared" si="27"/>
        <v>807-TUVALU</v>
      </c>
    </row>
    <row r="234" spans="2:50" ht="15">
      <c r="B234" s="97" t="s">
        <v>2549</v>
      </c>
      <c r="C234" s="97" t="s">
        <v>2550</v>
      </c>
      <c r="D234" s="75" t="str">
        <f t="shared" si="29"/>
        <v>PB-Pallet, box</v>
      </c>
      <c r="N234" s="43" t="s">
        <v>2551</v>
      </c>
      <c r="O234" s="44" t="s">
        <v>2552</v>
      </c>
      <c r="P234" s="45" t="str">
        <f t="shared" si="28"/>
        <v>UG-Uganda</v>
      </c>
      <c r="AF234" s="53"/>
      <c r="AG234" s="105"/>
      <c r="AH234" s="53"/>
      <c r="AV234" s="100" t="s">
        <v>2553</v>
      </c>
      <c r="AW234" s="62" t="s">
        <v>2554</v>
      </c>
      <c r="AX234" s="63" t="str">
        <f t="shared" si="27"/>
        <v>809-NEW CALEDONIA</v>
      </c>
    </row>
    <row r="235" spans="2:50" ht="26.25">
      <c r="B235" s="97" t="s">
        <v>2555</v>
      </c>
      <c r="C235" s="97" t="s">
        <v>2556</v>
      </c>
      <c r="D235" s="75" t="str">
        <f t="shared" si="29"/>
        <v>PC-Parcel</v>
      </c>
      <c r="N235" s="43" t="s">
        <v>2557</v>
      </c>
      <c r="O235" s="44" t="s">
        <v>2558</v>
      </c>
      <c r="P235" s="45" t="str">
        <f t="shared" si="28"/>
        <v>UM-United States Minor Outlying Islands</v>
      </c>
      <c r="AF235" s="53"/>
      <c r="AG235" s="105"/>
      <c r="AH235" s="53"/>
      <c r="AV235" s="100" t="s">
        <v>2559</v>
      </c>
      <c r="AW235" s="62" t="s">
        <v>2560</v>
      </c>
      <c r="AX235" s="63" t="str">
        <f t="shared" si="27"/>
        <v>811-WALLIS AND FUTUNA ISLANDS</v>
      </c>
    </row>
    <row r="236" spans="2:50" ht="15">
      <c r="B236" s="97" t="s">
        <v>2561</v>
      </c>
      <c r="C236" s="97" t="s">
        <v>2562</v>
      </c>
      <c r="D236" s="75" t="str">
        <f t="shared" si="29"/>
        <v>PD-Pallet, modular, collars 80 cm × 100 cm</v>
      </c>
      <c r="N236" s="43" t="s">
        <v>2563</v>
      </c>
      <c r="O236" s="44" t="s">
        <v>2564</v>
      </c>
      <c r="P236" s="45" t="str">
        <f t="shared" si="28"/>
        <v>US-United States</v>
      </c>
      <c r="AF236" s="53"/>
      <c r="AG236" s="105"/>
      <c r="AH236" s="53"/>
      <c r="AV236" s="100" t="s">
        <v>2565</v>
      </c>
      <c r="AW236" s="62" t="s">
        <v>2566</v>
      </c>
      <c r="AX236" s="63" t="str">
        <f t="shared" si="27"/>
        <v>812-KIRIBATI</v>
      </c>
    </row>
    <row r="237" spans="2:50" ht="15">
      <c r="B237" s="97" t="s">
        <v>2161</v>
      </c>
      <c r="C237" s="97" t="s">
        <v>2567</v>
      </c>
      <c r="D237" s="75" t="str">
        <f t="shared" si="29"/>
        <v>PE-Pallet, modular, collars 80 cm × 120 cm</v>
      </c>
      <c r="N237" s="43" t="s">
        <v>2568</v>
      </c>
      <c r="O237" s="44" t="s">
        <v>2569</v>
      </c>
      <c r="P237" s="45" t="str">
        <f t="shared" si="28"/>
        <v>UY-Uruguay</v>
      </c>
      <c r="AF237" s="53"/>
      <c r="AG237" s="105"/>
      <c r="AH237" s="53"/>
      <c r="AV237" s="100" t="s">
        <v>2570</v>
      </c>
      <c r="AW237" s="62" t="s">
        <v>2571</v>
      </c>
      <c r="AX237" s="63" t="str">
        <f t="shared" si="27"/>
        <v>813-PITCAIRN</v>
      </c>
    </row>
    <row r="238" spans="2:50" ht="15">
      <c r="B238" s="97" t="s">
        <v>2169</v>
      </c>
      <c r="C238" s="97" t="s">
        <v>2572</v>
      </c>
      <c r="D238" s="75" t="str">
        <f t="shared" si="29"/>
        <v>PF-Pen</v>
      </c>
      <c r="N238" s="43" t="s">
        <v>2573</v>
      </c>
      <c r="O238" s="44" t="s">
        <v>2574</v>
      </c>
      <c r="P238" s="45" t="str">
        <f t="shared" si="28"/>
        <v>UZ-Uzbekistan</v>
      </c>
      <c r="AF238" s="53"/>
      <c r="AG238" s="105"/>
      <c r="AH238" s="53"/>
      <c r="AV238" s="100" t="s">
        <v>2575</v>
      </c>
      <c r="AW238" s="62" t="s">
        <v>2576</v>
      </c>
      <c r="AX238" s="63" t="str">
        <f t="shared" si="27"/>
        <v>815-FIJI</v>
      </c>
    </row>
    <row r="239" spans="2:50" ht="15">
      <c r="B239" s="97" t="s">
        <v>2178</v>
      </c>
      <c r="C239" s="97" t="s">
        <v>2577</v>
      </c>
      <c r="D239" s="75" t="str">
        <f t="shared" si="29"/>
        <v>PG-Plate</v>
      </c>
      <c r="N239" s="43" t="s">
        <v>2578</v>
      </c>
      <c r="O239" s="44" t="s">
        <v>2579</v>
      </c>
      <c r="P239" s="45" t="str">
        <f t="shared" si="28"/>
        <v>VA-Holy See</v>
      </c>
      <c r="AF239" s="53"/>
      <c r="AG239" s="105"/>
      <c r="AH239" s="53"/>
      <c r="AV239" s="100" t="s">
        <v>2580</v>
      </c>
      <c r="AW239" s="62" t="s">
        <v>2581</v>
      </c>
      <c r="AX239" s="63" t="str">
        <f t="shared" si="27"/>
        <v>816-VANUATU</v>
      </c>
    </row>
    <row r="240" spans="2:50" ht="15">
      <c r="B240" s="97" t="s">
        <v>2185</v>
      </c>
      <c r="C240" s="97" t="s">
        <v>2582</v>
      </c>
      <c r="D240" s="75" t="str">
        <f t="shared" si="29"/>
        <v>PH-Pitcher</v>
      </c>
      <c r="N240" s="43" t="s">
        <v>2583</v>
      </c>
      <c r="O240" s="44" t="s">
        <v>2584</v>
      </c>
      <c r="P240" s="45" t="str">
        <f t="shared" si="28"/>
        <v>VC-St Vincent/Grenadines</v>
      </c>
      <c r="AF240" s="53"/>
      <c r="AG240" s="105"/>
      <c r="AH240" s="53"/>
      <c r="AV240" s="100" t="s">
        <v>2585</v>
      </c>
      <c r="AW240" s="62" t="s">
        <v>2586</v>
      </c>
      <c r="AX240" s="63" t="str">
        <f t="shared" si="27"/>
        <v>817-TONGA</v>
      </c>
    </row>
    <row r="241" spans="2:50" ht="15">
      <c r="B241" s="97" t="s">
        <v>2587</v>
      </c>
      <c r="C241" s="97" t="s">
        <v>2588</v>
      </c>
      <c r="D241" s="75" t="str">
        <f t="shared" si="29"/>
        <v>PI-Pipe</v>
      </c>
      <c r="N241" s="43" t="s">
        <v>2589</v>
      </c>
      <c r="O241" s="44" t="s">
        <v>2590</v>
      </c>
      <c r="P241" s="45" t="str">
        <f t="shared" si="28"/>
        <v>VE-Venezuela</v>
      </c>
      <c r="AF241" s="53"/>
      <c r="AG241" s="105"/>
      <c r="AH241" s="53"/>
      <c r="AV241" s="100" t="s">
        <v>2591</v>
      </c>
      <c r="AW241" s="62" t="s">
        <v>2592</v>
      </c>
      <c r="AX241" s="63" t="str">
        <f t="shared" si="27"/>
        <v>819-SAMOA (WEST SAMOA)</v>
      </c>
    </row>
    <row r="242" spans="2:50" ht="15">
      <c r="B242" s="97" t="s">
        <v>2593</v>
      </c>
      <c r="C242" s="97" t="s">
        <v>2594</v>
      </c>
      <c r="D242" s="75" t="str">
        <f t="shared" si="29"/>
        <v>PJ-Punnet</v>
      </c>
      <c r="N242" s="43" t="s">
        <v>2595</v>
      </c>
      <c r="O242" s="44" t="s">
        <v>2596</v>
      </c>
      <c r="P242" s="45" t="str">
        <f t="shared" si="28"/>
        <v>VG-Virgin Is, British</v>
      </c>
      <c r="AF242" s="53"/>
      <c r="AG242" s="105"/>
      <c r="AH242" s="53"/>
      <c r="AV242" s="100" t="s">
        <v>2597</v>
      </c>
      <c r="AW242" s="62" t="s">
        <v>2598</v>
      </c>
      <c r="AX242" s="63" t="str">
        <f t="shared" si="27"/>
        <v>820-NORTH MARIANA ISLANDS</v>
      </c>
    </row>
    <row r="243" spans="2:50" ht="15">
      <c r="B243" s="97" t="s">
        <v>2193</v>
      </c>
      <c r="C243" s="97" t="s">
        <v>2599</v>
      </c>
      <c r="D243" s="75" t="str">
        <f t="shared" si="29"/>
        <v>PK-Package</v>
      </c>
      <c r="N243" s="43" t="s">
        <v>2600</v>
      </c>
      <c r="O243" s="44" t="s">
        <v>2601</v>
      </c>
      <c r="P243" s="45" t="str">
        <f t="shared" si="28"/>
        <v>VI-Virgin Is, U.S.</v>
      </c>
      <c r="AF243" s="53"/>
      <c r="AG243" s="105"/>
      <c r="AH243" s="53"/>
      <c r="AV243" s="100" t="s">
        <v>2602</v>
      </c>
      <c r="AW243" s="62" t="s">
        <v>2603</v>
      </c>
      <c r="AX243" s="63" t="str">
        <f t="shared" si="27"/>
        <v xml:space="preserve">822-French Polynesia </v>
      </c>
    </row>
    <row r="244" spans="2:50" ht="15">
      <c r="B244" s="97" t="s">
        <v>2200</v>
      </c>
      <c r="C244" s="97" t="s">
        <v>2604</v>
      </c>
      <c r="D244" s="75" t="str">
        <f t="shared" si="29"/>
        <v>PL-Pail</v>
      </c>
      <c r="N244" s="43" t="s">
        <v>2605</v>
      </c>
      <c r="O244" s="44" t="s">
        <v>2606</v>
      </c>
      <c r="P244" s="45" t="str">
        <f t="shared" si="28"/>
        <v>VN-Viet Nam</v>
      </c>
      <c r="AF244" s="53"/>
      <c r="AG244" s="105"/>
      <c r="AH244" s="53"/>
      <c r="AV244" s="100" t="s">
        <v>2607</v>
      </c>
      <c r="AW244" s="62" t="s">
        <v>2608</v>
      </c>
      <c r="AX244" s="63" t="str">
        <f t="shared" si="27"/>
        <v>823-MICRONESIA</v>
      </c>
    </row>
    <row r="245" spans="2:50" ht="15">
      <c r="B245" s="97" t="s">
        <v>2216</v>
      </c>
      <c r="C245" s="97" t="s">
        <v>2609</v>
      </c>
      <c r="D245" s="75" t="str">
        <f t="shared" si="29"/>
        <v>PN-Plank</v>
      </c>
      <c r="N245" s="43" t="s">
        <v>2610</v>
      </c>
      <c r="O245" s="44" t="s">
        <v>2611</v>
      </c>
      <c r="P245" s="45" t="str">
        <f t="shared" si="28"/>
        <v>VU-Vanuatu</v>
      </c>
      <c r="AF245" s="53"/>
      <c r="AG245" s="105"/>
      <c r="AH245" s="53"/>
      <c r="AV245" s="100" t="s">
        <v>2612</v>
      </c>
      <c r="AW245" s="62" t="s">
        <v>2613</v>
      </c>
      <c r="AX245" s="63" t="str">
        <f t="shared" si="27"/>
        <v>824-MARSHALL ISLANDS</v>
      </c>
    </row>
    <row r="246" spans="2:50" ht="15">
      <c r="B246" s="97" t="s">
        <v>2614</v>
      </c>
      <c r="C246" s="97" t="s">
        <v>2615</v>
      </c>
      <c r="D246" s="75" t="str">
        <f t="shared" si="29"/>
        <v>PO-Pouch</v>
      </c>
      <c r="N246" s="43" t="s">
        <v>2616</v>
      </c>
      <c r="O246" s="44" t="s">
        <v>2617</v>
      </c>
      <c r="P246" s="45" t="str">
        <f t="shared" si="28"/>
        <v>WF-Wallis and Futuna</v>
      </c>
      <c r="AF246" s="53"/>
      <c r="AG246" s="105"/>
      <c r="AH246" s="53"/>
      <c r="AV246" s="100" t="s">
        <v>2618</v>
      </c>
      <c r="AW246" s="62" t="s">
        <v>2619</v>
      </c>
      <c r="AX246" s="63" t="str">
        <f t="shared" si="27"/>
        <v>825-PALAU</v>
      </c>
    </row>
    <row r="247" spans="2:50" ht="15">
      <c r="B247" s="97" t="s">
        <v>2620</v>
      </c>
      <c r="C247" s="97" t="s">
        <v>2621</v>
      </c>
      <c r="D247" s="75" t="str">
        <f t="shared" si="29"/>
        <v>PP-Pieza suelta</v>
      </c>
      <c r="N247" s="43" t="s">
        <v>2622</v>
      </c>
      <c r="O247" s="44" t="s">
        <v>2623</v>
      </c>
      <c r="P247" s="45" t="str">
        <f t="shared" si="28"/>
        <v>WS-Samoa</v>
      </c>
      <c r="AF247" s="53"/>
      <c r="AG247" s="105"/>
      <c r="AH247" s="53"/>
      <c r="AV247" s="100" t="s">
        <v>2624</v>
      </c>
      <c r="AW247" s="62" t="s">
        <v>2625</v>
      </c>
      <c r="AX247" s="63" t="str">
        <f t="shared" si="27"/>
        <v>830-AMERICAN SAMOA</v>
      </c>
    </row>
    <row r="248" spans="2:50" ht="15">
      <c r="B248" s="97" t="s">
        <v>2224</v>
      </c>
      <c r="C248" s="97" t="s">
        <v>2626</v>
      </c>
      <c r="D248" s="75" t="str">
        <f t="shared" si="29"/>
        <v>PR-Receptacle, plastic</v>
      </c>
      <c r="N248" s="43" t="s">
        <v>2627</v>
      </c>
      <c r="O248" s="44" t="s">
        <v>2628</v>
      </c>
      <c r="P248" s="45" t="str">
        <f t="shared" si="28"/>
        <v>YE-Yemen</v>
      </c>
      <c r="AF248" s="53"/>
      <c r="AG248" s="105"/>
      <c r="AH248" s="53"/>
      <c r="AV248" s="100" t="s">
        <v>2629</v>
      </c>
      <c r="AW248" s="62" t="s">
        <v>2630</v>
      </c>
      <c r="AX248" s="63" t="str">
        <f t="shared" si="27"/>
        <v>831-GUAM</v>
      </c>
    </row>
    <row r="249" spans="2:50" ht="26.25">
      <c r="B249" s="97" t="s">
        <v>2240</v>
      </c>
      <c r="C249" s="97" t="s">
        <v>2631</v>
      </c>
      <c r="D249" s="75" t="str">
        <f t="shared" si="29"/>
        <v>PT-Pot</v>
      </c>
      <c r="N249" s="43" t="s">
        <v>2632</v>
      </c>
      <c r="O249" s="44" t="s">
        <v>2633</v>
      </c>
      <c r="P249" s="45" t="str">
        <f t="shared" si="28"/>
        <v>YT-Mayotte</v>
      </c>
      <c r="AF249" s="53"/>
      <c r="AG249" s="105"/>
      <c r="AH249" s="53"/>
      <c r="AV249" s="100" t="s">
        <v>2634</v>
      </c>
      <c r="AW249" s="63" t="s">
        <v>2635</v>
      </c>
      <c r="AX249" s="63" t="str">
        <f t="shared" si="27"/>
        <v xml:space="preserve">832-United States Minor Outlying
Islands </v>
      </c>
    </row>
    <row r="250" spans="2:50" ht="15">
      <c r="B250" s="97" t="s">
        <v>2636</v>
      </c>
      <c r="C250" s="97" t="s">
        <v>2637</v>
      </c>
      <c r="D250" s="75" t="str">
        <f t="shared" si="29"/>
        <v>PU-Tray/Tray pack</v>
      </c>
      <c r="N250" s="43" t="s">
        <v>2638</v>
      </c>
      <c r="O250" s="44" t="s">
        <v>2639</v>
      </c>
      <c r="P250" s="45" t="str">
        <f t="shared" si="28"/>
        <v>ZA-South Africa</v>
      </c>
      <c r="AF250" s="53"/>
      <c r="AG250" s="105"/>
      <c r="AH250" s="53"/>
      <c r="AV250" s="100" t="s">
        <v>2640</v>
      </c>
      <c r="AW250" s="62" t="s">
        <v>2641</v>
      </c>
      <c r="AX250" s="63" t="str">
        <f t="shared" si="27"/>
        <v>833-COCOS ISLANDS</v>
      </c>
    </row>
    <row r="251" spans="2:50" ht="15">
      <c r="B251" s="97" t="s">
        <v>2642</v>
      </c>
      <c r="C251" s="97" t="s">
        <v>2643</v>
      </c>
      <c r="D251" s="75" t="str">
        <f t="shared" si="29"/>
        <v>PV-Pipes, in bundle/bunch/truss</v>
      </c>
      <c r="N251" s="43" t="s">
        <v>2644</v>
      </c>
      <c r="O251" s="44" t="s">
        <v>2645</v>
      </c>
      <c r="P251" s="45" t="str">
        <f t="shared" si="28"/>
        <v>ZM-Zambia</v>
      </c>
      <c r="AF251" s="53"/>
      <c r="AG251" s="105"/>
      <c r="AH251" s="53"/>
      <c r="AV251" s="100" t="s">
        <v>2646</v>
      </c>
      <c r="AW251" s="62" t="s">
        <v>2647</v>
      </c>
      <c r="AX251" s="63" t="str">
        <f t="shared" si="27"/>
        <v>834-CHRISTMAS ISLAND</v>
      </c>
    </row>
    <row r="252" spans="2:50" ht="15">
      <c r="B252" s="97" t="s">
        <v>2648</v>
      </c>
      <c r="C252" s="97" t="s">
        <v>2649</v>
      </c>
      <c r="D252" s="75" t="str">
        <f t="shared" si="29"/>
        <v>PX-Pallet</v>
      </c>
      <c r="N252" s="43" t="s">
        <v>2650</v>
      </c>
      <c r="O252" s="44" t="s">
        <v>2651</v>
      </c>
      <c r="P252" s="45" t="str">
        <f t="shared" si="28"/>
        <v>ZW-Zimbabwe</v>
      </c>
      <c r="AF252" s="53"/>
      <c r="AG252" s="105"/>
      <c r="AH252" s="53"/>
      <c r="AV252" s="100" t="s">
        <v>2652</v>
      </c>
      <c r="AW252" s="62" t="s">
        <v>2653</v>
      </c>
      <c r="AX252" s="63" t="str">
        <f t="shared" si="27"/>
        <v>835-HEARD ISLAND</v>
      </c>
    </row>
    <row r="253" spans="2:50" ht="15">
      <c r="B253" s="97" t="s">
        <v>2253</v>
      </c>
      <c r="C253" s="97" t="s">
        <v>2654</v>
      </c>
      <c r="D253" s="75" t="str">
        <f t="shared" si="29"/>
        <v>PY-Plates, in bundle/bunch/truss</v>
      </c>
      <c r="N253" s="90" t="s">
        <v>2655</v>
      </c>
      <c r="O253" s="90" t="s">
        <v>2656</v>
      </c>
      <c r="P253" s="90" t="str">
        <f t="shared" si="28"/>
        <v>XC-Ceuta</v>
      </c>
      <c r="AF253" s="53"/>
      <c r="AG253" s="105"/>
      <c r="AH253" s="53"/>
      <c r="AV253" s="100" t="s">
        <v>2657</v>
      </c>
      <c r="AW253" s="62" t="s">
        <v>2658</v>
      </c>
      <c r="AX253" s="63" t="str">
        <f t="shared" si="27"/>
        <v>836-NORFOLK ISLAND</v>
      </c>
    </row>
    <row r="254" spans="2:50" ht="26.25">
      <c r="B254" s="97" t="s">
        <v>2659</v>
      </c>
      <c r="C254" s="97" t="s">
        <v>2660</v>
      </c>
      <c r="D254" s="75" t="str">
        <f t="shared" si="29"/>
        <v>PZ-Pipes/planks, in bundle/bunch/truss</v>
      </c>
      <c r="N254" s="90" t="s">
        <v>2661</v>
      </c>
      <c r="O254" s="90" t="s">
        <v>2662</v>
      </c>
      <c r="P254" s="90" t="str">
        <f t="shared" si="28"/>
        <v>XI-United Kingdom (Northern Ireland)</v>
      </c>
      <c r="AF254" s="53"/>
      <c r="AG254" s="105"/>
      <c r="AH254" s="53"/>
      <c r="AV254" s="100" t="s">
        <v>2663</v>
      </c>
      <c r="AW254" s="62" t="s">
        <v>2664</v>
      </c>
      <c r="AX254" s="63" t="str">
        <f t="shared" si="27"/>
        <v>837-COOK ISLAND</v>
      </c>
    </row>
    <row r="255" spans="2:50" ht="15">
      <c r="B255" s="97" t="s">
        <v>2259</v>
      </c>
      <c r="C255" s="97" t="s">
        <v>2665</v>
      </c>
      <c r="D255" s="75" t="str">
        <f t="shared" si="29"/>
        <v>QA-Drum, steel, non-removable head</v>
      </c>
      <c r="N255" s="43" t="s">
        <v>2666</v>
      </c>
      <c r="O255" s="44" t="s">
        <v>2667</v>
      </c>
      <c r="P255" s="45" t="str">
        <f t="shared" si="28"/>
        <v>XK-Kosovo</v>
      </c>
      <c r="AF255" s="53"/>
      <c r="AG255" s="105"/>
      <c r="AH255" s="53"/>
      <c r="AV255" s="100" t="s">
        <v>2668</v>
      </c>
      <c r="AW255" s="62" t="s">
        <v>2669</v>
      </c>
      <c r="AX255" s="63" t="str">
        <f t="shared" si="27"/>
        <v>838-NIUE</v>
      </c>
    </row>
    <row r="256" spans="2:50" ht="15">
      <c r="B256" s="97" t="s">
        <v>2670</v>
      </c>
      <c r="C256" s="97" t="s">
        <v>2671</v>
      </c>
      <c r="D256" s="75" t="str">
        <f t="shared" si="29"/>
        <v>QB-Drum, steel, removable head</v>
      </c>
      <c r="N256" s="106" t="s">
        <v>2672</v>
      </c>
      <c r="O256" s="106" t="s">
        <v>2673</v>
      </c>
      <c r="P256" s="106" t="str">
        <f t="shared" si="28"/>
        <v>XL-Melilla</v>
      </c>
      <c r="AF256" s="53"/>
      <c r="AG256" s="105"/>
      <c r="AH256" s="53"/>
      <c r="AV256" s="100" t="s">
        <v>2674</v>
      </c>
      <c r="AW256" s="62" t="s">
        <v>2675</v>
      </c>
      <c r="AX256" s="63" t="str">
        <f t="shared" si="27"/>
        <v>839-TOKELAU</v>
      </c>
    </row>
    <row r="257" spans="2:50" ht="15">
      <c r="B257" s="97" t="s">
        <v>2676</v>
      </c>
      <c r="C257" s="97" t="s">
        <v>2677</v>
      </c>
      <c r="D257" s="75" t="str">
        <f t="shared" si="29"/>
        <v>QC-Drum, aluminium, non-removable head</v>
      </c>
      <c r="O257" s="107"/>
      <c r="AF257" s="53"/>
      <c r="AG257" s="105"/>
      <c r="AH257" s="53"/>
      <c r="AV257" s="100" t="s">
        <v>2678</v>
      </c>
      <c r="AW257" s="62" t="s">
        <v>2679</v>
      </c>
      <c r="AX257" s="63" t="str">
        <f t="shared" si="27"/>
        <v>891-ANTARCTICA</v>
      </c>
    </row>
    <row r="258" spans="2:50" ht="15">
      <c r="B258" s="97" t="s">
        <v>2680</v>
      </c>
      <c r="C258" s="97" t="s">
        <v>2681</v>
      </c>
      <c r="D258" s="75" t="str">
        <f t="shared" si="29"/>
        <v>QD-Drum, aluminium, removable head</v>
      </c>
      <c r="O258" s="107"/>
      <c r="AF258" s="53"/>
      <c r="AG258" s="105"/>
      <c r="AH258" s="53"/>
      <c r="AV258" s="100" t="s">
        <v>2682</v>
      </c>
      <c r="AW258" s="62" t="s">
        <v>2683</v>
      </c>
      <c r="AX258" s="63" t="str">
        <f t="shared" si="27"/>
        <v>892-BOUVET ISLAND</v>
      </c>
    </row>
    <row r="259" spans="2:50" ht="26.25">
      <c r="B259" s="97" t="s">
        <v>2684</v>
      </c>
      <c r="C259" s="97" t="s">
        <v>2685</v>
      </c>
      <c r="D259" s="75" t="str">
        <f t="shared" si="29"/>
        <v>QF-Drum, plastic, non-removable head</v>
      </c>
      <c r="O259" s="107"/>
      <c r="AF259" s="53"/>
      <c r="AG259" s="105"/>
      <c r="AH259" s="53"/>
      <c r="AV259" s="100" t="s">
        <v>2686</v>
      </c>
      <c r="AW259" s="63" t="s">
        <v>2687</v>
      </c>
      <c r="AX259" s="63" t="str">
        <f>CONCATENATE(AV259,"-",AW259)</f>
        <v>893-South Georgia and South
Sandwich Islands</v>
      </c>
    </row>
    <row r="260" spans="2:50" ht="15">
      <c r="B260" s="97" t="s">
        <v>2688</v>
      </c>
      <c r="C260" s="97" t="s">
        <v>2689</v>
      </c>
      <c r="D260" s="75" t="str">
        <f t="shared" si="29"/>
        <v>QG-Drum, plastic, removable head</v>
      </c>
      <c r="O260" s="107"/>
      <c r="AF260" s="53"/>
      <c r="AG260" s="105"/>
      <c r="AH260" s="53"/>
      <c r="AV260" s="100" t="s">
        <v>2690</v>
      </c>
      <c r="AW260" s="62" t="s">
        <v>2691</v>
      </c>
      <c r="AX260" s="63" t="str">
        <f>CONCATENATE(AV260,"-",AW260)</f>
        <v>894-French Southern Territories</v>
      </c>
    </row>
    <row r="261" spans="2:50" ht="15">
      <c r="B261" s="97" t="s">
        <v>2692</v>
      </c>
      <c r="C261" s="97" t="s">
        <v>2693</v>
      </c>
      <c r="D261" s="75" t="str">
        <f t="shared" si="29"/>
        <v>QH-Barrel, wooden, bung type</v>
      </c>
      <c r="O261" s="107"/>
      <c r="AF261" s="53"/>
      <c r="AG261" s="105"/>
      <c r="AH261" s="53"/>
      <c r="AV261" s="100" t="s">
        <v>2694</v>
      </c>
      <c r="AW261" s="62" t="s">
        <v>2695</v>
      </c>
      <c r="AX261" s="63" t="str">
        <f>CONCATENATE(AV261,"-",AW261)</f>
        <v>958-UNKNOWN TERRITORIES</v>
      </c>
    </row>
    <row r="262" spans="2:50" ht="15">
      <c r="B262" s="97" t="s">
        <v>2696</v>
      </c>
      <c r="C262" s="97" t="s">
        <v>2697</v>
      </c>
      <c r="D262" s="75" t="str">
        <f t="shared" si="29"/>
        <v>QJ-Barrel, wooden, removable head</v>
      </c>
      <c r="O262" s="107"/>
      <c r="AF262" s="53"/>
      <c r="AG262" s="105"/>
      <c r="AH262" s="53"/>
    </row>
    <row r="263" spans="2:50" ht="15">
      <c r="B263" s="97" t="s">
        <v>2698</v>
      </c>
      <c r="C263" s="97" t="s">
        <v>2699</v>
      </c>
      <c r="D263" s="75" t="str">
        <f t="shared" si="29"/>
        <v>QK-Jerrycan, steel, non-removable head</v>
      </c>
      <c r="O263" s="107"/>
      <c r="AF263" s="53"/>
      <c r="AG263" s="105"/>
      <c r="AH263" s="53"/>
    </row>
    <row r="264" spans="2:50" ht="15">
      <c r="B264" s="97" t="s">
        <v>2700</v>
      </c>
      <c r="C264" s="97" t="s">
        <v>2701</v>
      </c>
      <c r="D264" s="75" t="str">
        <f t="shared" si="29"/>
        <v>QL-Jerrycan, steel, removable head</v>
      </c>
      <c r="O264" s="107"/>
      <c r="AF264" s="53"/>
      <c r="AG264" s="105"/>
      <c r="AH264" s="53"/>
    </row>
    <row r="265" spans="2:50" ht="15">
      <c r="B265" s="97" t="s">
        <v>2702</v>
      </c>
      <c r="C265" s="97" t="s">
        <v>2703</v>
      </c>
      <c r="D265" s="75" t="str">
        <f t="shared" si="29"/>
        <v>QM-Jerrycan, plastic, non-removable head</v>
      </c>
      <c r="O265" s="107"/>
      <c r="AF265" s="53"/>
      <c r="AG265" s="105"/>
      <c r="AH265" s="53"/>
    </row>
    <row r="266" spans="2:50" ht="15">
      <c r="B266" s="97" t="s">
        <v>2704</v>
      </c>
      <c r="C266" s="97" t="s">
        <v>2705</v>
      </c>
      <c r="D266" s="75" t="str">
        <f t="shared" si="29"/>
        <v>QN-Jerrycan, plastic, removable head</v>
      </c>
      <c r="O266" s="107"/>
      <c r="AF266" s="53"/>
      <c r="AG266" s="105"/>
      <c r="AH266" s="53"/>
    </row>
    <row r="267" spans="2:50" ht="15">
      <c r="B267" s="97" t="s">
        <v>2706</v>
      </c>
      <c r="C267" s="97" t="s">
        <v>2707</v>
      </c>
      <c r="D267" s="75" t="str">
        <f t="shared" si="29"/>
        <v>QP-Box, wooden, natural wood, ordinary</v>
      </c>
      <c r="O267" s="107"/>
      <c r="AF267" s="53"/>
      <c r="AG267" s="105"/>
      <c r="AH267" s="53"/>
    </row>
    <row r="268" spans="2:50" ht="30">
      <c r="B268" s="97" t="s">
        <v>2708</v>
      </c>
      <c r="C268" s="97" t="s">
        <v>2709</v>
      </c>
      <c r="D268" s="75" t="str">
        <f t="shared" si="29"/>
        <v>QQ-Box, wooden, natural wood, with sift proof walls</v>
      </c>
      <c r="O268" s="107"/>
      <c r="AF268" s="53"/>
      <c r="AG268" s="105"/>
      <c r="AH268" s="53"/>
    </row>
    <row r="269" spans="2:50" ht="15">
      <c r="B269" s="97" t="s">
        <v>2710</v>
      </c>
      <c r="C269" s="97" t="s">
        <v>2711</v>
      </c>
      <c r="D269" s="75" t="str">
        <f t="shared" si="29"/>
        <v>QR-Box, plastic, expanded</v>
      </c>
      <c r="O269" s="107"/>
      <c r="AF269" s="53"/>
      <c r="AG269" s="105"/>
      <c r="AH269" s="53"/>
    </row>
    <row r="270" spans="2:50" ht="15">
      <c r="B270" s="97" t="s">
        <v>2712</v>
      </c>
      <c r="C270" s="97" t="s">
        <v>2713</v>
      </c>
      <c r="D270" s="75" t="str">
        <f t="shared" si="29"/>
        <v>QS-Box, plastic, solid</v>
      </c>
      <c r="O270" s="107"/>
      <c r="AF270" s="53"/>
      <c r="AG270" s="105"/>
      <c r="AH270" s="53"/>
    </row>
    <row r="271" spans="2:50" ht="15">
      <c r="B271" s="97" t="s">
        <v>2714</v>
      </c>
      <c r="C271" s="97" t="s">
        <v>2715</v>
      </c>
      <c r="D271" s="75" t="str">
        <f t="shared" si="29"/>
        <v>RD-Rod</v>
      </c>
      <c r="O271" s="107"/>
      <c r="AF271" s="53"/>
      <c r="AG271" s="105"/>
      <c r="AH271" s="53"/>
    </row>
    <row r="272" spans="2:50" ht="15">
      <c r="B272" s="97" t="s">
        <v>2716</v>
      </c>
      <c r="C272" s="97" t="s">
        <v>2717</v>
      </c>
      <c r="D272" s="75" t="str">
        <f t="shared" si="29"/>
        <v>RG-Ring</v>
      </c>
      <c r="O272" s="107"/>
      <c r="AF272" s="53"/>
      <c r="AG272" s="105"/>
      <c r="AH272" s="53"/>
    </row>
    <row r="273" spans="2:34" ht="15">
      <c r="B273" s="97" t="s">
        <v>2718</v>
      </c>
      <c r="C273" s="97" t="s">
        <v>2719</v>
      </c>
      <c r="D273" s="75" t="str">
        <f t="shared" si="29"/>
        <v>RJ-Rack, clothing hanger</v>
      </c>
      <c r="O273" s="107"/>
      <c r="AF273" s="53"/>
      <c r="AG273" s="105"/>
      <c r="AH273" s="53"/>
    </row>
    <row r="274" spans="2:34" ht="15">
      <c r="B274" s="97" t="s">
        <v>2720</v>
      </c>
      <c r="C274" s="97" t="s">
        <v>2721</v>
      </c>
      <c r="D274" s="75" t="str">
        <f t="shared" si="29"/>
        <v>RK-Rack</v>
      </c>
      <c r="O274" s="107"/>
      <c r="AF274" s="53"/>
      <c r="AG274" s="105"/>
      <c r="AH274" s="53"/>
    </row>
    <row r="275" spans="2:34" ht="15">
      <c r="B275" s="97" t="s">
        <v>2722</v>
      </c>
      <c r="C275" s="97" t="s">
        <v>2723</v>
      </c>
      <c r="D275" s="75" t="str">
        <f t="shared" si="29"/>
        <v>RL-Reel</v>
      </c>
      <c r="O275" s="107"/>
      <c r="AF275" s="53"/>
      <c r="AG275" s="105"/>
      <c r="AH275" s="53"/>
    </row>
    <row r="276" spans="2:34" ht="15">
      <c r="B276" s="97" t="s">
        <v>2273</v>
      </c>
      <c r="C276" s="97" t="s">
        <v>2724</v>
      </c>
      <c r="D276" s="75" t="str">
        <f t="shared" si="29"/>
        <v>RO-Roll</v>
      </c>
      <c r="O276" s="107"/>
      <c r="AF276" s="53"/>
      <c r="AG276" s="105"/>
      <c r="AH276" s="53"/>
    </row>
    <row r="277" spans="2:34" ht="15">
      <c r="B277" s="97" t="s">
        <v>2725</v>
      </c>
      <c r="C277" s="97" t="s">
        <v>2726</v>
      </c>
      <c r="D277" s="75" t="str">
        <f t="shared" si="29"/>
        <v>RT-Rednet</v>
      </c>
      <c r="O277" s="107"/>
      <c r="AF277" s="53"/>
      <c r="AG277" s="105"/>
      <c r="AH277" s="53"/>
    </row>
    <row r="278" spans="2:34" ht="15">
      <c r="B278" s="97" t="s">
        <v>2727</v>
      </c>
      <c r="C278" s="97" t="s">
        <v>2728</v>
      </c>
      <c r="D278" s="75" t="str">
        <f t="shared" si="29"/>
        <v>RZ-Rods, in bundle/bunch/truss</v>
      </c>
      <c r="O278" s="107"/>
      <c r="AF278" s="53"/>
      <c r="AG278" s="105"/>
      <c r="AH278" s="53"/>
    </row>
    <row r="279" spans="2:34" ht="15">
      <c r="B279" s="97" t="s">
        <v>2300</v>
      </c>
      <c r="C279" s="97" t="s">
        <v>2729</v>
      </c>
      <c r="D279" s="75" t="str">
        <f t="shared" si="29"/>
        <v>SA-Sack</v>
      </c>
      <c r="O279" s="107"/>
      <c r="AF279" s="53"/>
      <c r="AG279" s="105"/>
      <c r="AH279" s="53"/>
    </row>
    <row r="280" spans="2:34" ht="15">
      <c r="B280" s="97" t="s">
        <v>2307</v>
      </c>
      <c r="C280" s="97" t="s">
        <v>2730</v>
      </c>
      <c r="D280" s="75" t="str">
        <f t="shared" si="29"/>
        <v>SB-Slab</v>
      </c>
      <c r="O280" s="107"/>
      <c r="AF280" s="53"/>
      <c r="AG280" s="105"/>
      <c r="AH280" s="53"/>
    </row>
    <row r="281" spans="2:34" ht="15">
      <c r="B281" s="97" t="s">
        <v>2314</v>
      </c>
      <c r="C281" s="97" t="s">
        <v>2731</v>
      </c>
      <c r="D281" s="75" t="str">
        <f t="shared" si="29"/>
        <v>SC-Shallow crate</v>
      </c>
      <c r="O281" s="107"/>
      <c r="AF281" s="53"/>
      <c r="AG281" s="105"/>
      <c r="AH281" s="53"/>
    </row>
    <row r="282" spans="2:34" ht="15">
      <c r="B282" s="97" t="s">
        <v>2321</v>
      </c>
      <c r="C282" s="97" t="s">
        <v>2732</v>
      </c>
      <c r="D282" s="75" t="str">
        <f t="shared" si="29"/>
        <v>SD-Spindle</v>
      </c>
      <c r="O282" s="107"/>
      <c r="AF282" s="53"/>
      <c r="AG282" s="105"/>
      <c r="AH282" s="53"/>
    </row>
    <row r="283" spans="2:34" ht="15">
      <c r="B283" s="97" t="s">
        <v>2328</v>
      </c>
      <c r="C283" s="97" t="s">
        <v>2733</v>
      </c>
      <c r="D283" s="75" t="str">
        <f t="shared" si="29"/>
        <v>SE-Sea-chest</v>
      </c>
      <c r="O283" s="107"/>
      <c r="AF283" s="53"/>
      <c r="AG283" s="105"/>
      <c r="AH283" s="53"/>
    </row>
    <row r="284" spans="2:34" ht="15">
      <c r="B284" s="97" t="s">
        <v>2342</v>
      </c>
      <c r="C284" s="97" t="s">
        <v>2734</v>
      </c>
      <c r="D284" s="75" t="str">
        <f t="shared" si="29"/>
        <v>SH-Sachet</v>
      </c>
      <c r="O284" s="107"/>
      <c r="AF284" s="53"/>
      <c r="AG284" s="105"/>
      <c r="AH284" s="53"/>
    </row>
    <row r="285" spans="2:34" ht="15">
      <c r="B285" s="97" t="s">
        <v>2349</v>
      </c>
      <c r="C285" s="97" t="s">
        <v>2735</v>
      </c>
      <c r="D285" s="75" t="str">
        <f t="shared" si="29"/>
        <v>SI-Skid</v>
      </c>
      <c r="O285" s="107"/>
      <c r="AF285" s="53"/>
      <c r="AG285" s="105"/>
      <c r="AH285" s="53"/>
    </row>
    <row r="286" spans="2:34" ht="15">
      <c r="B286" s="97" t="s">
        <v>2363</v>
      </c>
      <c r="C286" s="97" t="s">
        <v>2736</v>
      </c>
      <c r="D286" s="75" t="str">
        <f t="shared" si="29"/>
        <v>SK-Skeleton case</v>
      </c>
      <c r="O286" s="107"/>
      <c r="AF286" s="53"/>
      <c r="AG286" s="105"/>
      <c r="AH286" s="53"/>
    </row>
    <row r="287" spans="2:34" ht="15">
      <c r="B287" s="97" t="s">
        <v>2370</v>
      </c>
      <c r="C287" s="97" t="s">
        <v>2737</v>
      </c>
      <c r="D287" s="75" t="str">
        <f t="shared" ref="D287:D350" si="30">CONCATENATE(B287,"-",C287)</f>
        <v>SL-Slipsheet</v>
      </c>
      <c r="O287" s="107"/>
      <c r="AF287" s="53"/>
      <c r="AG287" s="105"/>
      <c r="AH287" s="53"/>
    </row>
    <row r="288" spans="2:34" ht="15">
      <c r="B288" s="97" t="s">
        <v>2377</v>
      </c>
      <c r="C288" s="97" t="s">
        <v>2738</v>
      </c>
      <c r="D288" s="75" t="str">
        <f t="shared" si="30"/>
        <v>SM-Sheetmetal</v>
      </c>
      <c r="O288" s="107"/>
      <c r="AF288" s="53"/>
      <c r="AG288" s="105"/>
      <c r="AH288" s="53"/>
    </row>
    <row r="289" spans="2:34" ht="15">
      <c r="B289" s="97" t="s">
        <v>2391</v>
      </c>
      <c r="C289" s="97" t="s">
        <v>2739</v>
      </c>
      <c r="D289" s="75" t="str">
        <f t="shared" si="30"/>
        <v>SO-Spool</v>
      </c>
      <c r="O289" s="107"/>
      <c r="AF289" s="53"/>
      <c r="AG289" s="105"/>
      <c r="AH289" s="53"/>
    </row>
    <row r="290" spans="2:34" ht="15">
      <c r="B290" s="97" t="s">
        <v>2740</v>
      </c>
      <c r="C290" s="97" t="s">
        <v>2741</v>
      </c>
      <c r="D290" s="75" t="str">
        <f t="shared" si="30"/>
        <v>SP-Sheet, plastic wrapping</v>
      </c>
      <c r="O290" s="107"/>
      <c r="AF290" s="53"/>
      <c r="AG290" s="105"/>
      <c r="AH290" s="53"/>
    </row>
    <row r="291" spans="2:34" ht="15">
      <c r="B291" s="97" t="s">
        <v>2405</v>
      </c>
      <c r="C291" s="97" t="s">
        <v>2742</v>
      </c>
      <c r="D291" s="75" t="str">
        <f t="shared" si="30"/>
        <v>SS-Case, steel</v>
      </c>
      <c r="O291" s="107"/>
      <c r="AF291" s="53"/>
      <c r="AG291" s="105"/>
      <c r="AH291" s="53"/>
    </row>
    <row r="292" spans="2:34" ht="15">
      <c r="B292" s="97" t="s">
        <v>2412</v>
      </c>
      <c r="C292" s="97" t="s">
        <v>2743</v>
      </c>
      <c r="D292" s="75" t="str">
        <f t="shared" si="30"/>
        <v>ST-Sheet</v>
      </c>
      <c r="O292" s="107"/>
      <c r="AF292" s="53"/>
      <c r="AG292" s="105"/>
      <c r="AH292" s="53"/>
    </row>
    <row r="293" spans="2:34" ht="15">
      <c r="B293" s="97" t="s">
        <v>2744</v>
      </c>
      <c r="C293" s="97" t="s">
        <v>2745</v>
      </c>
      <c r="D293" s="75" t="str">
        <f t="shared" si="30"/>
        <v>SU-Suitcase</v>
      </c>
      <c r="O293" s="107"/>
      <c r="AF293" s="53"/>
      <c r="AG293" s="105"/>
      <c r="AH293" s="53"/>
    </row>
    <row r="294" spans="2:34" ht="15">
      <c r="B294" s="97" t="s">
        <v>2419</v>
      </c>
      <c r="C294" s="97" t="s">
        <v>2746</v>
      </c>
      <c r="D294" s="75" t="str">
        <f t="shared" si="30"/>
        <v>SV-Envelope, steel</v>
      </c>
      <c r="O294" s="107"/>
      <c r="AF294" s="53"/>
      <c r="AG294" s="105"/>
      <c r="AH294" s="53"/>
    </row>
    <row r="295" spans="2:34" ht="15">
      <c r="B295" s="97" t="s">
        <v>2747</v>
      </c>
      <c r="C295" s="97" t="s">
        <v>2748</v>
      </c>
      <c r="D295" s="75" t="str">
        <f t="shared" si="30"/>
        <v>SW-Shrinkwrapped</v>
      </c>
      <c r="O295" s="107"/>
      <c r="AF295" s="53"/>
      <c r="AG295" s="105"/>
      <c r="AH295" s="53"/>
    </row>
    <row r="296" spans="2:34" ht="15">
      <c r="B296" s="97" t="s">
        <v>2426</v>
      </c>
      <c r="C296" s="97" t="s">
        <v>2749</v>
      </c>
      <c r="D296" s="75" t="str">
        <f t="shared" si="30"/>
        <v>SX-Set</v>
      </c>
      <c r="O296" s="107"/>
      <c r="AF296" s="53"/>
      <c r="AG296" s="105"/>
      <c r="AH296" s="53"/>
    </row>
    <row r="297" spans="2:34" ht="15">
      <c r="B297" s="97" t="s">
        <v>2433</v>
      </c>
      <c r="C297" s="97" t="s">
        <v>2750</v>
      </c>
      <c r="D297" s="75" t="str">
        <f t="shared" si="30"/>
        <v>SY-Sleeve</v>
      </c>
      <c r="O297" s="107"/>
      <c r="AF297" s="53"/>
      <c r="AG297" s="105"/>
      <c r="AH297" s="53"/>
    </row>
    <row r="298" spans="2:34" ht="15">
      <c r="B298" s="97" t="s">
        <v>2439</v>
      </c>
      <c r="C298" s="97" t="s">
        <v>2751</v>
      </c>
      <c r="D298" s="75" t="str">
        <f t="shared" si="30"/>
        <v>SZ-Sheets, in bundle/bunch/truss</v>
      </c>
      <c r="O298" s="107"/>
      <c r="AF298" s="53"/>
      <c r="AG298" s="105"/>
      <c r="AH298" s="53"/>
    </row>
    <row r="299" spans="2:34" ht="15">
      <c r="B299" s="97" t="s">
        <v>2752</v>
      </c>
      <c r="C299" s="97" t="s">
        <v>2753</v>
      </c>
      <c r="D299" s="75" t="str">
        <f t="shared" si="30"/>
        <v>T1-Comprimido (tablet)</v>
      </c>
      <c r="O299" s="107"/>
      <c r="AF299" s="53"/>
      <c r="AG299" s="105"/>
      <c r="AH299" s="53"/>
    </row>
    <row r="300" spans="2:34" ht="15">
      <c r="B300" s="97" t="s">
        <v>2754</v>
      </c>
      <c r="C300" s="97" t="s">
        <v>2755</v>
      </c>
      <c r="D300" s="75" t="str">
        <f t="shared" si="30"/>
        <v>TB-Tub</v>
      </c>
      <c r="O300" s="107"/>
      <c r="AF300" s="53"/>
      <c r="AG300" s="105"/>
      <c r="AH300" s="53"/>
    </row>
    <row r="301" spans="2:34" ht="15">
      <c r="B301" s="97" t="s">
        <v>2446</v>
      </c>
      <c r="C301" s="97" t="s">
        <v>2756</v>
      </c>
      <c r="D301" s="75" t="str">
        <f t="shared" si="30"/>
        <v>TC-Tea-chest</v>
      </c>
      <c r="O301" s="107"/>
      <c r="AF301" s="53"/>
      <c r="AG301" s="105"/>
      <c r="AH301" s="53"/>
    </row>
    <row r="302" spans="2:34" ht="15">
      <c r="B302" s="97" t="s">
        <v>2453</v>
      </c>
      <c r="C302" s="97" t="s">
        <v>2757</v>
      </c>
      <c r="D302" s="75" t="str">
        <f t="shared" si="30"/>
        <v>TD-Tube, collapsible/Collapsible tube</v>
      </c>
      <c r="O302" s="107"/>
      <c r="AF302" s="53"/>
      <c r="AG302" s="105"/>
      <c r="AH302" s="53"/>
    </row>
    <row r="303" spans="2:34" ht="15">
      <c r="B303" s="97" t="s">
        <v>2758</v>
      </c>
      <c r="C303" s="97" t="s">
        <v>2759</v>
      </c>
      <c r="D303" s="75" t="str">
        <f t="shared" si="30"/>
        <v>TE-Neumático</v>
      </c>
      <c r="O303" s="107"/>
      <c r="AF303" s="53"/>
      <c r="AG303" s="105"/>
      <c r="AH303" s="53"/>
    </row>
    <row r="304" spans="2:34" ht="15">
      <c r="B304" s="97" t="s">
        <v>2467</v>
      </c>
      <c r="C304" s="97" t="s">
        <v>2760</v>
      </c>
      <c r="D304" s="75" t="str">
        <f t="shared" si="30"/>
        <v>TG-Tanque contenedor genérico</v>
      </c>
      <c r="O304" s="107"/>
      <c r="AF304" s="53"/>
      <c r="AG304" s="105"/>
      <c r="AH304" s="53"/>
    </row>
    <row r="305" spans="2:34" ht="15">
      <c r="B305" s="97" t="s">
        <v>2761</v>
      </c>
      <c r="C305" s="97" t="s">
        <v>2762</v>
      </c>
      <c r="D305" s="75" t="str">
        <f t="shared" si="30"/>
        <v>TI-Tierce</v>
      </c>
      <c r="O305" s="107"/>
      <c r="AF305" s="53"/>
      <c r="AG305" s="105"/>
      <c r="AH305" s="53"/>
    </row>
    <row r="306" spans="2:34" ht="15">
      <c r="B306" s="97" t="s">
        <v>2486</v>
      </c>
      <c r="C306" s="97" t="s">
        <v>2763</v>
      </c>
      <c r="D306" s="75" t="str">
        <f t="shared" si="30"/>
        <v>TK-Tank, rectangular</v>
      </c>
      <c r="O306" s="107"/>
      <c r="AF306" s="53"/>
      <c r="AG306" s="105"/>
      <c r="AH306" s="53"/>
    </row>
    <row r="307" spans="2:34" ht="15">
      <c r="B307" s="97" t="s">
        <v>2492</v>
      </c>
      <c r="C307" s="97" t="s">
        <v>2764</v>
      </c>
      <c r="D307" s="75" t="str">
        <f t="shared" si="30"/>
        <v>TL-Tub, with lid</v>
      </c>
      <c r="O307" s="107"/>
      <c r="AF307" s="53"/>
      <c r="AG307" s="105"/>
      <c r="AH307" s="53"/>
    </row>
    <row r="308" spans="2:34" ht="15">
      <c r="B308" s="97" t="s">
        <v>2504</v>
      </c>
      <c r="C308" s="97" t="s">
        <v>2765</v>
      </c>
      <c r="D308" s="75" t="str">
        <f t="shared" si="30"/>
        <v>TN-Tin</v>
      </c>
      <c r="O308" s="107"/>
      <c r="AF308" s="53"/>
      <c r="AG308" s="105"/>
      <c r="AH308" s="53"/>
    </row>
    <row r="309" spans="2:34" ht="15">
      <c r="B309" s="97" t="s">
        <v>2510</v>
      </c>
      <c r="C309" s="97" t="s">
        <v>2766</v>
      </c>
      <c r="D309" s="75" t="str">
        <f t="shared" si="30"/>
        <v>TO-Tun</v>
      </c>
      <c r="O309" s="107"/>
      <c r="AF309" s="53"/>
      <c r="AG309" s="105"/>
      <c r="AH309" s="53"/>
    </row>
    <row r="310" spans="2:34" ht="15">
      <c r="B310" s="97" t="s">
        <v>2516</v>
      </c>
      <c r="C310" s="97" t="s">
        <v>2767</v>
      </c>
      <c r="D310" s="75" t="str">
        <f t="shared" si="30"/>
        <v>TR-Trunk</v>
      </c>
      <c r="O310" s="107"/>
      <c r="AF310" s="53"/>
      <c r="AG310" s="105"/>
      <c r="AH310" s="53"/>
    </row>
    <row r="311" spans="2:34" ht="15">
      <c r="B311" s="97" t="s">
        <v>2768</v>
      </c>
      <c r="C311" s="97" t="s">
        <v>2769</v>
      </c>
      <c r="D311" s="75" t="str">
        <f t="shared" si="30"/>
        <v>TS-Truss</v>
      </c>
      <c r="O311" s="107"/>
      <c r="AF311" s="53"/>
      <c r="AG311" s="105"/>
      <c r="AH311" s="53"/>
    </row>
    <row r="312" spans="2:34" ht="15">
      <c r="B312" s="97" t="s">
        <v>2522</v>
      </c>
      <c r="C312" s="97" t="s">
        <v>2770</v>
      </c>
      <c r="D312" s="75" t="str">
        <f t="shared" si="30"/>
        <v>TT-Saco o cesta (bag tote)</v>
      </c>
      <c r="O312" s="107"/>
      <c r="AF312" s="53"/>
      <c r="AG312" s="105"/>
      <c r="AH312" s="53"/>
    </row>
    <row r="313" spans="2:34" ht="15">
      <c r="B313" s="97" t="s">
        <v>2771</v>
      </c>
      <c r="C313" s="97" t="s">
        <v>2772</v>
      </c>
      <c r="D313" s="75" t="str">
        <f t="shared" si="30"/>
        <v>TU-Tube</v>
      </c>
      <c r="O313" s="107"/>
      <c r="AF313" s="53"/>
      <c r="AG313" s="105"/>
      <c r="AH313" s="53"/>
    </row>
    <row r="314" spans="2:34" ht="15">
      <c r="B314" s="97" t="s">
        <v>2528</v>
      </c>
      <c r="C314" s="97" t="s">
        <v>2773</v>
      </c>
      <c r="D314" s="75" t="str">
        <f t="shared" si="30"/>
        <v>TV-Tube, with nozzle</v>
      </c>
      <c r="O314" s="107"/>
      <c r="AF314" s="53"/>
      <c r="AG314" s="105"/>
      <c r="AH314" s="53"/>
    </row>
    <row r="315" spans="2:34" ht="15">
      <c r="B315" s="97" t="s">
        <v>2534</v>
      </c>
      <c r="C315" s="97" t="s">
        <v>2774</v>
      </c>
      <c r="D315" s="75" t="str">
        <f t="shared" si="30"/>
        <v>TW-Paleta de cartón ondulado</v>
      </c>
      <c r="O315" s="107"/>
      <c r="AF315" s="53"/>
      <c r="AG315" s="105"/>
      <c r="AH315" s="53"/>
    </row>
    <row r="316" spans="2:34" ht="15">
      <c r="B316" s="97" t="s">
        <v>2775</v>
      </c>
      <c r="C316" s="97" t="s">
        <v>2776</v>
      </c>
      <c r="D316" s="75" t="str">
        <f t="shared" si="30"/>
        <v>TY-Tank, cylindrical</v>
      </c>
      <c r="O316" s="107"/>
      <c r="AF316" s="53"/>
      <c r="AG316" s="105"/>
      <c r="AH316" s="53"/>
    </row>
    <row r="317" spans="2:34" ht="15">
      <c r="B317" s="97" t="s">
        <v>2540</v>
      </c>
      <c r="C317" s="97" t="s">
        <v>2777</v>
      </c>
      <c r="D317" s="75" t="str">
        <f t="shared" si="30"/>
        <v>TZ-Tube, in bundle/bunch/truss</v>
      </c>
      <c r="O317" s="107"/>
      <c r="AF317" s="53"/>
      <c r="AG317" s="105"/>
      <c r="AH317" s="53"/>
    </row>
    <row r="318" spans="2:34" ht="15">
      <c r="B318" s="97" t="s">
        <v>2778</v>
      </c>
      <c r="C318" s="97" t="s">
        <v>2779</v>
      </c>
      <c r="D318" s="75" t="str">
        <f t="shared" si="30"/>
        <v>UC-Uncaged</v>
      </c>
      <c r="O318" s="107"/>
      <c r="AF318" s="53"/>
      <c r="AG318" s="105"/>
      <c r="AH318" s="53"/>
    </row>
    <row r="319" spans="2:34" ht="15">
      <c r="B319" s="97" t="s">
        <v>2780</v>
      </c>
      <c r="C319" s="97" t="s">
        <v>2781</v>
      </c>
      <c r="D319" s="75" t="str">
        <f t="shared" si="30"/>
        <v>UN-Unidad</v>
      </c>
      <c r="O319" s="107"/>
      <c r="AF319" s="53"/>
      <c r="AG319" s="105"/>
      <c r="AH319" s="53"/>
    </row>
    <row r="320" spans="2:34" ht="15">
      <c r="B320" s="97" t="s">
        <v>2578</v>
      </c>
      <c r="C320" s="97" t="s">
        <v>2782</v>
      </c>
      <c r="D320" s="75" t="str">
        <f t="shared" si="30"/>
        <v>VA-Vat</v>
      </c>
      <c r="O320" s="107"/>
      <c r="AF320" s="53"/>
      <c r="AG320" s="105"/>
      <c r="AH320" s="53"/>
    </row>
    <row r="321" spans="2:34" ht="15">
      <c r="B321" s="97" t="s">
        <v>2595</v>
      </c>
      <c r="C321" s="97" t="s">
        <v>2783</v>
      </c>
      <c r="D321" s="75" t="str">
        <f t="shared" si="30"/>
        <v>VG-Bulk, gas (at 1031 mbar and 15°C)</v>
      </c>
      <c r="O321" s="107"/>
      <c r="AF321" s="53"/>
      <c r="AG321" s="105"/>
      <c r="AH321" s="53"/>
    </row>
    <row r="322" spans="2:34" ht="15">
      <c r="B322" s="97" t="s">
        <v>2600</v>
      </c>
      <c r="C322" s="97" t="s">
        <v>2784</v>
      </c>
      <c r="D322" s="75" t="str">
        <f t="shared" si="30"/>
        <v>VI-Vial</v>
      </c>
      <c r="O322" s="107"/>
      <c r="AF322" s="53"/>
      <c r="AG322" s="105"/>
      <c r="AH322" s="53"/>
    </row>
    <row r="323" spans="2:34" ht="15">
      <c r="B323" s="97" t="s">
        <v>2785</v>
      </c>
      <c r="C323" s="97" t="s">
        <v>2786</v>
      </c>
      <c r="D323" s="75" t="str">
        <f t="shared" si="30"/>
        <v>VK-Vanpack</v>
      </c>
      <c r="O323" s="107"/>
      <c r="AF323" s="53"/>
      <c r="AG323" s="105"/>
      <c r="AH323" s="53"/>
    </row>
    <row r="324" spans="2:34" ht="15">
      <c r="B324" s="97" t="s">
        <v>2787</v>
      </c>
      <c r="C324" s="97" t="s">
        <v>2788</v>
      </c>
      <c r="D324" s="75" t="str">
        <f t="shared" si="30"/>
        <v>VL-Bulk, liquid</v>
      </c>
      <c r="O324" s="107"/>
      <c r="AF324" s="53"/>
      <c r="AG324" s="105"/>
      <c r="AH324" s="53"/>
    </row>
    <row r="325" spans="2:34" ht="15">
      <c r="B325" s="97" t="s">
        <v>2605</v>
      </c>
      <c r="C325" s="97" t="s">
        <v>2789</v>
      </c>
      <c r="D325" s="75" t="str">
        <f t="shared" si="30"/>
        <v>VN-Vehículo</v>
      </c>
      <c r="O325" s="107"/>
      <c r="AF325" s="53"/>
      <c r="AG325" s="105"/>
      <c r="AH325" s="53"/>
    </row>
    <row r="326" spans="2:34" ht="15">
      <c r="B326" s="97" t="s">
        <v>2790</v>
      </c>
      <c r="C326" s="97" t="s">
        <v>2791</v>
      </c>
      <c r="D326" s="75" t="str">
        <f t="shared" si="30"/>
        <v>VO-Bulk, solid, large particles ("nodules")</v>
      </c>
      <c r="O326" s="107"/>
      <c r="AF326" s="53"/>
      <c r="AG326" s="105"/>
      <c r="AH326" s="53"/>
    </row>
    <row r="327" spans="2:34" ht="15">
      <c r="B327" s="97" t="s">
        <v>2792</v>
      </c>
      <c r="C327" s="97" t="s">
        <v>2793</v>
      </c>
      <c r="D327" s="75" t="str">
        <f t="shared" si="30"/>
        <v>VP-Vacuum-packed</v>
      </c>
      <c r="O327" s="107"/>
      <c r="AF327" s="53"/>
      <c r="AG327" s="105"/>
      <c r="AH327" s="53"/>
    </row>
    <row r="328" spans="2:34" ht="30">
      <c r="B328" s="97" t="s">
        <v>2794</v>
      </c>
      <c r="C328" s="97" t="s">
        <v>2795</v>
      </c>
      <c r="D328" s="75" t="str">
        <f t="shared" si="30"/>
        <v>VQ-Bulk, liquefied gas at abnormal temperature</v>
      </c>
      <c r="O328" s="107"/>
      <c r="AF328" s="53"/>
      <c r="AG328" s="105"/>
      <c r="AH328" s="53"/>
    </row>
    <row r="329" spans="2:34" ht="30">
      <c r="B329" s="97" t="s">
        <v>2796</v>
      </c>
      <c r="C329" s="97" t="s">
        <v>2797</v>
      </c>
      <c r="D329" s="75" t="str">
        <f t="shared" si="30"/>
        <v>VR-Bulk, solid, granulated particles ("grains")</v>
      </c>
      <c r="O329" s="107"/>
      <c r="AF329" s="53"/>
      <c r="AG329" s="105"/>
      <c r="AH329" s="53"/>
    </row>
    <row r="330" spans="2:34" ht="15">
      <c r="B330" s="97" t="s">
        <v>2798</v>
      </c>
      <c r="C330" s="97" t="s">
        <v>2799</v>
      </c>
      <c r="D330" s="75" t="str">
        <f t="shared" si="30"/>
        <v>VS-Chatarra a granel</v>
      </c>
      <c r="O330" s="107"/>
      <c r="AF330" s="53"/>
      <c r="AG330" s="105"/>
      <c r="AH330" s="53"/>
    </row>
    <row r="331" spans="2:34" ht="15">
      <c r="B331" s="97" t="s">
        <v>2800</v>
      </c>
      <c r="C331" s="97" t="s">
        <v>2801</v>
      </c>
      <c r="D331" s="75" t="str">
        <f t="shared" si="30"/>
        <v>VY-Bulk, solid, fine particles ("powders")</v>
      </c>
      <c r="O331" s="107"/>
      <c r="AF331" s="53"/>
      <c r="AG331" s="105"/>
      <c r="AH331" s="53"/>
    </row>
    <row r="332" spans="2:34" ht="15">
      <c r="B332" s="97" t="s">
        <v>2802</v>
      </c>
      <c r="C332" s="97" t="s">
        <v>2803</v>
      </c>
      <c r="D332" s="75" t="str">
        <f t="shared" si="30"/>
        <v>WA-Intermediate bulk container</v>
      </c>
      <c r="O332" s="107"/>
      <c r="AF332" s="53"/>
      <c r="AG332" s="105"/>
      <c r="AH332" s="53"/>
    </row>
    <row r="333" spans="2:34" ht="15">
      <c r="B333" s="97" t="s">
        <v>2804</v>
      </c>
      <c r="C333" s="97" t="s">
        <v>2805</v>
      </c>
      <c r="D333" s="75" t="str">
        <f t="shared" si="30"/>
        <v>WB-Wicker bottle</v>
      </c>
      <c r="O333" s="107"/>
      <c r="AF333" s="53"/>
      <c r="AG333" s="105"/>
      <c r="AH333" s="53"/>
    </row>
    <row r="334" spans="2:34" ht="15">
      <c r="B334" s="97" t="s">
        <v>2806</v>
      </c>
      <c r="C334" s="97" t="s">
        <v>2807</v>
      </c>
      <c r="D334" s="75" t="str">
        <f t="shared" si="30"/>
        <v>WC-Intermediate bulk container, steel</v>
      </c>
      <c r="O334" s="107"/>
      <c r="AF334" s="53"/>
      <c r="AG334" s="105"/>
      <c r="AH334" s="53"/>
    </row>
    <row r="335" spans="2:34" ht="30">
      <c r="B335" s="97" t="s">
        <v>2808</v>
      </c>
      <c r="C335" s="97" t="s">
        <v>2809</v>
      </c>
      <c r="D335" s="75" t="str">
        <f t="shared" si="30"/>
        <v>WD-Intermediate bulk container, aluminium</v>
      </c>
      <c r="O335" s="107"/>
      <c r="AF335" s="53"/>
      <c r="AG335" s="105"/>
      <c r="AH335" s="53"/>
    </row>
    <row r="336" spans="2:34" ht="15">
      <c r="B336" s="97" t="s">
        <v>2616</v>
      </c>
      <c r="C336" s="97" t="s">
        <v>2810</v>
      </c>
      <c r="D336" s="75" t="str">
        <f t="shared" si="30"/>
        <v>WF-Intermediate bulk container, metal</v>
      </c>
      <c r="O336" s="107"/>
      <c r="AF336" s="53"/>
      <c r="AG336" s="105"/>
      <c r="AH336" s="53"/>
    </row>
    <row r="337" spans="2:34" ht="30">
      <c r="B337" s="97" t="s">
        <v>2811</v>
      </c>
      <c r="C337" s="97" t="s">
        <v>2812</v>
      </c>
      <c r="D337" s="75" t="str">
        <f t="shared" si="30"/>
        <v>WG-Intermediate bulk container, steel, pressurised &gt; 10 kPa</v>
      </c>
      <c r="O337" s="107"/>
      <c r="AF337" s="53"/>
      <c r="AG337" s="105"/>
      <c r="AH337" s="53"/>
    </row>
    <row r="338" spans="2:34" ht="30">
      <c r="B338" s="97" t="s">
        <v>2813</v>
      </c>
      <c r="C338" s="97" t="s">
        <v>2814</v>
      </c>
      <c r="D338" s="75" t="str">
        <f t="shared" si="30"/>
        <v>WH-Intermediate bulk container, aluminium, pressurised &gt; 10 kPa</v>
      </c>
      <c r="O338" s="107"/>
      <c r="AF338" s="53"/>
      <c r="AG338" s="105"/>
      <c r="AH338" s="53"/>
    </row>
    <row r="339" spans="2:34" ht="30">
      <c r="B339" s="97" t="s">
        <v>2815</v>
      </c>
      <c r="C339" s="97" t="s">
        <v>2816</v>
      </c>
      <c r="D339" s="75" t="str">
        <f t="shared" si="30"/>
        <v>WJ-Intermediate bulk container, metal, pressure 10 kPa</v>
      </c>
      <c r="O339" s="107"/>
      <c r="AF339" s="53"/>
      <c r="AG339" s="105"/>
      <c r="AH339" s="53"/>
    </row>
    <row r="340" spans="2:34" ht="30">
      <c r="B340" s="97" t="s">
        <v>2817</v>
      </c>
      <c r="C340" s="97" t="s">
        <v>2818</v>
      </c>
      <c r="D340" s="75" t="str">
        <f t="shared" si="30"/>
        <v>WK-Intermediate bulk container, steel, liquid</v>
      </c>
      <c r="O340" s="107"/>
      <c r="AF340" s="53"/>
      <c r="AG340" s="105"/>
      <c r="AH340" s="53"/>
    </row>
    <row r="341" spans="2:34" ht="30">
      <c r="B341" s="97" t="s">
        <v>2819</v>
      </c>
      <c r="C341" s="97" t="s">
        <v>2820</v>
      </c>
      <c r="D341" s="75" t="str">
        <f t="shared" si="30"/>
        <v>WL-Intermediate bulk container, aluminium, liquid</v>
      </c>
      <c r="O341" s="107"/>
      <c r="AF341" s="53"/>
      <c r="AG341" s="105"/>
      <c r="AH341" s="53"/>
    </row>
    <row r="342" spans="2:34" ht="30">
      <c r="B342" s="97" t="s">
        <v>2821</v>
      </c>
      <c r="C342" s="97" t="s">
        <v>2822</v>
      </c>
      <c r="D342" s="75" t="str">
        <f t="shared" si="30"/>
        <v>WM-Intermediate bulk container, metal, liquid</v>
      </c>
      <c r="O342" s="107"/>
      <c r="AF342" s="53"/>
      <c r="AG342" s="105"/>
      <c r="AH342" s="53"/>
    </row>
    <row r="343" spans="2:34" ht="30">
      <c r="B343" s="97" t="s">
        <v>2823</v>
      </c>
      <c r="C343" s="97" t="s">
        <v>2824</v>
      </c>
      <c r="D343" s="75" t="str">
        <f t="shared" si="30"/>
        <v>WN-Intermediate bulk container, woven plastic, without coat/liner</v>
      </c>
      <c r="O343" s="107"/>
      <c r="AF343" s="53"/>
      <c r="AG343" s="105"/>
      <c r="AH343" s="53"/>
    </row>
    <row r="344" spans="2:34" ht="30">
      <c r="B344" s="97" t="s">
        <v>2825</v>
      </c>
      <c r="C344" s="97" t="s">
        <v>2826</v>
      </c>
      <c r="D344" s="75" t="str">
        <f t="shared" si="30"/>
        <v>WP-Intermediate bulk container, woven plastic, coated</v>
      </c>
      <c r="O344" s="107"/>
      <c r="AF344" s="53"/>
      <c r="AG344" s="105"/>
      <c r="AH344" s="53"/>
    </row>
    <row r="345" spans="2:34" ht="30">
      <c r="B345" s="97" t="s">
        <v>2827</v>
      </c>
      <c r="C345" s="97" t="s">
        <v>2828</v>
      </c>
      <c r="D345" s="75" t="str">
        <f t="shared" si="30"/>
        <v>WQ-Intermediate bulk container, woven plastic, with liner</v>
      </c>
      <c r="O345" s="107"/>
      <c r="AF345" s="53"/>
      <c r="AG345" s="105"/>
      <c r="AH345" s="53"/>
    </row>
    <row r="346" spans="2:34" ht="30">
      <c r="B346" s="97" t="s">
        <v>2829</v>
      </c>
      <c r="C346" s="97" t="s">
        <v>2830</v>
      </c>
      <c r="D346" s="75" t="str">
        <f t="shared" si="30"/>
        <v>WR-Intermediate bulk container, woven plastic, coated and liner</v>
      </c>
      <c r="O346" s="107"/>
      <c r="AF346" s="53"/>
      <c r="AG346" s="105"/>
      <c r="AH346" s="53"/>
    </row>
    <row r="347" spans="2:34" ht="15">
      <c r="B347" s="97" t="s">
        <v>2622</v>
      </c>
      <c r="C347" s="97" t="s">
        <v>2831</v>
      </c>
      <c r="D347" s="75" t="str">
        <f t="shared" si="30"/>
        <v>WS-Intermediate bulk container, plastic film</v>
      </c>
      <c r="O347" s="107"/>
      <c r="AF347" s="53"/>
      <c r="AG347" s="105"/>
      <c r="AH347" s="53"/>
    </row>
    <row r="348" spans="2:34" ht="30">
      <c r="B348" s="97" t="s">
        <v>2832</v>
      </c>
      <c r="C348" s="97" t="s">
        <v>2833</v>
      </c>
      <c r="D348" s="75" t="str">
        <f t="shared" si="30"/>
        <v>WT-Intermediate bulk container, textile without coat/liner</v>
      </c>
      <c r="O348" s="107"/>
      <c r="AF348" s="53"/>
      <c r="AG348" s="105"/>
      <c r="AH348" s="53"/>
    </row>
    <row r="349" spans="2:34" ht="30">
      <c r="B349" s="97" t="s">
        <v>2834</v>
      </c>
      <c r="C349" s="97" t="s">
        <v>2835</v>
      </c>
      <c r="D349" s="75" t="str">
        <f t="shared" si="30"/>
        <v>WU-Intermediate bulk container, natural wood, with inner liner</v>
      </c>
      <c r="O349" s="107"/>
      <c r="AF349" s="53"/>
      <c r="AG349" s="105"/>
      <c r="AH349" s="53"/>
    </row>
    <row r="350" spans="2:34" ht="30">
      <c r="B350" s="97" t="s">
        <v>2836</v>
      </c>
      <c r="C350" s="97" t="s">
        <v>2837</v>
      </c>
      <c r="D350" s="75" t="str">
        <f t="shared" si="30"/>
        <v>WV-Intermediate bulk container, textile, coated</v>
      </c>
      <c r="O350" s="107"/>
      <c r="AF350" s="53"/>
      <c r="AG350" s="105"/>
      <c r="AH350" s="53"/>
    </row>
    <row r="351" spans="2:34" ht="30">
      <c r="B351" s="97" t="s">
        <v>2838</v>
      </c>
      <c r="C351" s="97" t="s">
        <v>2839</v>
      </c>
      <c r="D351" s="75" t="str">
        <f t="shared" ref="D351:D408" si="31">CONCATENATE(B351,"-",C351)</f>
        <v>WW-Intermediate bulk container, textile, with liner</v>
      </c>
      <c r="O351" s="107"/>
      <c r="AF351" s="53"/>
      <c r="AG351" s="105"/>
      <c r="AH351" s="53"/>
    </row>
    <row r="352" spans="2:34" ht="30">
      <c r="B352" s="97" t="s">
        <v>2840</v>
      </c>
      <c r="C352" s="97" t="s">
        <v>2841</v>
      </c>
      <c r="D352" s="75" t="str">
        <f t="shared" si="31"/>
        <v>WX-Intermediate bulk container, textile, coated and liner</v>
      </c>
      <c r="O352" s="107"/>
      <c r="AF352" s="53"/>
      <c r="AG352" s="105"/>
      <c r="AH352" s="53"/>
    </row>
    <row r="353" spans="2:34" ht="30">
      <c r="B353" s="97" t="s">
        <v>2842</v>
      </c>
      <c r="C353" s="97" t="s">
        <v>2843</v>
      </c>
      <c r="D353" s="75" t="str">
        <f t="shared" si="31"/>
        <v>WY-Intermediate bulk container, plywood, with inner liner</v>
      </c>
      <c r="O353" s="107"/>
      <c r="AF353" s="53"/>
      <c r="AG353" s="105"/>
      <c r="AH353" s="53"/>
    </row>
    <row r="354" spans="2:34" ht="30">
      <c r="B354" s="97" t="s">
        <v>2844</v>
      </c>
      <c r="C354" s="97" t="s">
        <v>2845</v>
      </c>
      <c r="D354" s="75" t="str">
        <f t="shared" si="31"/>
        <v>WZ-Intermediate bulk container, reconstituted wood, with inner liner</v>
      </c>
      <c r="O354" s="107"/>
      <c r="AF354" s="53"/>
      <c r="AG354" s="105"/>
      <c r="AH354" s="53"/>
    </row>
    <row r="355" spans="2:34" ht="30">
      <c r="B355" s="97" t="s">
        <v>2846</v>
      </c>
      <c r="C355" s="97" t="s">
        <v>2847</v>
      </c>
      <c r="D355" s="75" t="str">
        <f t="shared" si="31"/>
        <v>XA-Bag, woven plastic, without inner coat/liner</v>
      </c>
      <c r="O355" s="107"/>
      <c r="AF355" s="53"/>
      <c r="AG355" s="105"/>
      <c r="AH355" s="53"/>
    </row>
    <row r="356" spans="2:34" ht="15">
      <c r="B356" s="97" t="s">
        <v>2848</v>
      </c>
      <c r="C356" s="97" t="s">
        <v>2849</v>
      </c>
      <c r="D356" s="75" t="str">
        <f t="shared" si="31"/>
        <v>XB-Bag, woven plastic, sift proof</v>
      </c>
      <c r="O356" s="107"/>
      <c r="AF356" s="53"/>
      <c r="AG356" s="105"/>
      <c r="AH356" s="53"/>
    </row>
    <row r="357" spans="2:34" ht="15">
      <c r="B357" s="97" t="s">
        <v>2655</v>
      </c>
      <c r="C357" s="97" t="s">
        <v>2850</v>
      </c>
      <c r="D357" s="75" t="str">
        <f t="shared" si="31"/>
        <v>XC-Bag, woven plastic, water resistant</v>
      </c>
      <c r="O357" s="107"/>
      <c r="AF357" s="53"/>
      <c r="AG357" s="105"/>
      <c r="AH357" s="53"/>
    </row>
    <row r="358" spans="2:34" ht="15">
      <c r="B358" s="97" t="s">
        <v>2851</v>
      </c>
      <c r="C358" s="97" t="s">
        <v>2852</v>
      </c>
      <c r="D358" s="75" t="str">
        <f t="shared" si="31"/>
        <v>XD-Bag, plastics film</v>
      </c>
      <c r="O358" s="107"/>
      <c r="AF358" s="53"/>
      <c r="AG358" s="105"/>
      <c r="AH358" s="53"/>
    </row>
    <row r="359" spans="2:34" ht="15">
      <c r="B359" s="97" t="s">
        <v>2853</v>
      </c>
      <c r="C359" s="97" t="s">
        <v>2854</v>
      </c>
      <c r="D359" s="75" t="str">
        <f t="shared" si="31"/>
        <v>XF-Bag, textile, without inner coat/liner</v>
      </c>
      <c r="O359" s="107"/>
      <c r="AF359" s="53"/>
      <c r="AG359" s="105"/>
      <c r="AH359" s="53"/>
    </row>
    <row r="360" spans="2:34" ht="15">
      <c r="B360" s="97" t="s">
        <v>2855</v>
      </c>
      <c r="C360" s="97" t="s">
        <v>2856</v>
      </c>
      <c r="D360" s="75" t="str">
        <f t="shared" si="31"/>
        <v>XG-Bag, textile, sift proof</v>
      </c>
      <c r="O360" s="107"/>
      <c r="AF360" s="53"/>
      <c r="AG360" s="105"/>
      <c r="AH360" s="53"/>
    </row>
    <row r="361" spans="2:34" ht="15">
      <c r="B361" s="97" t="s">
        <v>2857</v>
      </c>
      <c r="C361" s="97" t="s">
        <v>2858</v>
      </c>
      <c r="D361" s="75" t="str">
        <f t="shared" si="31"/>
        <v>XH-Bag, textile, water resistant</v>
      </c>
      <c r="O361" s="107"/>
      <c r="AF361" s="53"/>
      <c r="AG361" s="105"/>
      <c r="AH361" s="53"/>
    </row>
    <row r="362" spans="2:34" ht="15">
      <c r="B362" s="97" t="s">
        <v>2859</v>
      </c>
      <c r="C362" s="97" t="s">
        <v>2860</v>
      </c>
      <c r="D362" s="75" t="str">
        <f t="shared" si="31"/>
        <v>XJ-Bag, paper, multi-wall</v>
      </c>
      <c r="O362" s="107"/>
      <c r="AF362" s="53"/>
      <c r="AG362" s="105"/>
      <c r="AH362" s="53"/>
    </row>
    <row r="363" spans="2:34" ht="15">
      <c r="B363" s="97" t="s">
        <v>2666</v>
      </c>
      <c r="C363" s="97" t="s">
        <v>2861</v>
      </c>
      <c r="D363" s="75" t="str">
        <f t="shared" si="31"/>
        <v>XK-Bag, paper, multi-wall, water resistant</v>
      </c>
      <c r="O363" s="107"/>
      <c r="AF363" s="53"/>
      <c r="AG363" s="105"/>
      <c r="AH363" s="53"/>
    </row>
    <row r="364" spans="2:34" ht="30">
      <c r="B364" s="97" t="s">
        <v>2862</v>
      </c>
      <c r="C364" s="97" t="s">
        <v>2863</v>
      </c>
      <c r="D364" s="75" t="str">
        <f t="shared" si="31"/>
        <v>YA-Composite packaging, plastic receptacle in steel drum</v>
      </c>
      <c r="O364" s="107"/>
      <c r="AF364" s="53"/>
      <c r="AG364" s="105"/>
      <c r="AH364" s="53"/>
    </row>
    <row r="365" spans="2:34" ht="30">
      <c r="B365" s="97" t="s">
        <v>2864</v>
      </c>
      <c r="C365" s="97" t="s">
        <v>2865</v>
      </c>
      <c r="D365" s="75" t="str">
        <f t="shared" si="31"/>
        <v>YB-Composite packaging, plastic receptacle in steel crate box</v>
      </c>
      <c r="O365" s="107"/>
      <c r="AF365" s="53"/>
      <c r="AG365" s="105"/>
      <c r="AH365" s="53"/>
    </row>
    <row r="366" spans="2:34" ht="30">
      <c r="B366" s="97" t="s">
        <v>2866</v>
      </c>
      <c r="C366" s="97" t="s">
        <v>2867</v>
      </c>
      <c r="D366" s="75" t="str">
        <f t="shared" si="31"/>
        <v>YC-Composite packaging, plastic receptacle in aluminium drum</v>
      </c>
      <c r="O366" s="107"/>
      <c r="AF366" s="53"/>
      <c r="AG366" s="105"/>
      <c r="AH366" s="53"/>
    </row>
    <row r="367" spans="2:34" ht="30">
      <c r="B367" s="97" t="s">
        <v>2868</v>
      </c>
      <c r="C367" s="97" t="s">
        <v>2869</v>
      </c>
      <c r="D367" s="75" t="str">
        <f t="shared" si="31"/>
        <v>YD-Composite packaging, plastic receptacle in aluminium crate</v>
      </c>
      <c r="O367" s="107"/>
      <c r="AF367" s="53"/>
      <c r="AG367" s="105"/>
      <c r="AH367" s="53"/>
    </row>
    <row r="368" spans="2:34" ht="30">
      <c r="B368" s="97" t="s">
        <v>2870</v>
      </c>
      <c r="C368" s="97" t="s">
        <v>2871</v>
      </c>
      <c r="D368" s="75" t="str">
        <f t="shared" si="31"/>
        <v>YF-Composite packaging, plastic receptacle in wooden box</v>
      </c>
      <c r="O368" s="107"/>
      <c r="AF368" s="53"/>
      <c r="AG368" s="105"/>
      <c r="AH368" s="53"/>
    </row>
    <row r="369" spans="2:34" ht="30">
      <c r="B369" s="97" t="s">
        <v>2872</v>
      </c>
      <c r="C369" s="97" t="s">
        <v>2873</v>
      </c>
      <c r="D369" s="75" t="str">
        <f t="shared" si="31"/>
        <v>YG-Composite packaging, plastic receptacle in plywood drum</v>
      </c>
      <c r="O369" s="107"/>
      <c r="AF369" s="53"/>
      <c r="AG369" s="105"/>
      <c r="AH369" s="53"/>
    </row>
    <row r="370" spans="2:34" ht="30">
      <c r="B370" s="97" t="s">
        <v>2874</v>
      </c>
      <c r="C370" s="97" t="s">
        <v>2875</v>
      </c>
      <c r="D370" s="75" t="str">
        <f t="shared" si="31"/>
        <v>YH-Composite packaging, plastic receptacle in plywood box</v>
      </c>
      <c r="O370" s="107"/>
      <c r="AF370" s="53"/>
      <c r="AG370" s="105"/>
      <c r="AH370" s="53"/>
    </row>
    <row r="371" spans="2:34" ht="30">
      <c r="B371" s="97" t="s">
        <v>2876</v>
      </c>
      <c r="C371" s="97" t="s">
        <v>2877</v>
      </c>
      <c r="D371" s="75" t="str">
        <f t="shared" si="31"/>
        <v>YJ-Composite packaging, plastic receptacle in fibre drum</v>
      </c>
      <c r="O371" s="107"/>
      <c r="AF371" s="53"/>
      <c r="AG371" s="105"/>
      <c r="AH371" s="53"/>
    </row>
    <row r="372" spans="2:34" ht="30">
      <c r="B372" s="97" t="s">
        <v>2878</v>
      </c>
      <c r="C372" s="97" t="s">
        <v>2879</v>
      </c>
      <c r="D372" s="75" t="str">
        <f t="shared" si="31"/>
        <v>YK-Composite packaging, plastic receptacle in fibreboard box</v>
      </c>
      <c r="O372" s="107"/>
      <c r="AF372" s="53"/>
      <c r="AG372" s="105"/>
      <c r="AH372" s="53"/>
    </row>
    <row r="373" spans="2:34" ht="30">
      <c r="B373" s="97" t="s">
        <v>2880</v>
      </c>
      <c r="C373" s="97" t="s">
        <v>2881</v>
      </c>
      <c r="D373" s="75" t="str">
        <f t="shared" si="31"/>
        <v>YL-Composite packaging, plastic receptacle in plastic drum</v>
      </c>
      <c r="O373" s="107"/>
      <c r="AF373" s="53"/>
      <c r="AG373" s="105"/>
      <c r="AH373" s="53"/>
    </row>
    <row r="374" spans="2:34" ht="30">
      <c r="B374" s="97" t="s">
        <v>2882</v>
      </c>
      <c r="C374" s="97" t="s">
        <v>2883</v>
      </c>
      <c r="D374" s="75" t="str">
        <f t="shared" si="31"/>
        <v>YM-Composite packaging, plastic receptacle in solid plastic box</v>
      </c>
      <c r="O374" s="107"/>
      <c r="AF374" s="53"/>
      <c r="AG374" s="105"/>
      <c r="AH374" s="53"/>
    </row>
    <row r="375" spans="2:34" ht="30">
      <c r="B375" s="97" t="s">
        <v>2884</v>
      </c>
      <c r="C375" s="97" t="s">
        <v>2885</v>
      </c>
      <c r="D375" s="75" t="str">
        <f t="shared" si="31"/>
        <v>YN-Composite packaging, glass receptacle in steel drum</v>
      </c>
      <c r="O375" s="107"/>
      <c r="AF375" s="53"/>
      <c r="AG375" s="105"/>
      <c r="AH375" s="53"/>
    </row>
    <row r="376" spans="2:34" ht="30">
      <c r="B376" s="97" t="s">
        <v>2886</v>
      </c>
      <c r="C376" s="97" t="s">
        <v>2887</v>
      </c>
      <c r="D376" s="75" t="str">
        <f t="shared" si="31"/>
        <v>YP-Composite packaging, glass receptacle in steel crate box</v>
      </c>
      <c r="O376" s="107"/>
      <c r="AF376" s="53"/>
      <c r="AG376" s="105"/>
      <c r="AH376" s="53"/>
    </row>
    <row r="377" spans="2:34" ht="30">
      <c r="B377" s="97" t="s">
        <v>2888</v>
      </c>
      <c r="C377" s="97" t="s">
        <v>2889</v>
      </c>
      <c r="D377" s="75" t="str">
        <f t="shared" si="31"/>
        <v>YQ-Composite packaging, glass receptacle in aluminium drum</v>
      </c>
      <c r="O377" s="107"/>
      <c r="AF377" s="53"/>
      <c r="AG377" s="105"/>
      <c r="AH377" s="53"/>
    </row>
    <row r="378" spans="2:34" ht="30">
      <c r="B378" s="97" t="s">
        <v>2890</v>
      </c>
      <c r="C378" s="97" t="s">
        <v>2891</v>
      </c>
      <c r="D378" s="75" t="str">
        <f t="shared" si="31"/>
        <v>YR-Composite packaging, glass receptacle in aluminium crate</v>
      </c>
      <c r="O378" s="107"/>
      <c r="AF378" s="53"/>
      <c r="AG378" s="105"/>
      <c r="AH378" s="53"/>
    </row>
    <row r="379" spans="2:34" ht="30">
      <c r="B379" s="97" t="s">
        <v>2892</v>
      </c>
      <c r="C379" s="97" t="s">
        <v>2893</v>
      </c>
      <c r="D379" s="75" t="str">
        <f t="shared" si="31"/>
        <v>YS-Composite packaging, glass receptacle in wooden box</v>
      </c>
      <c r="O379" s="107"/>
      <c r="AF379" s="53"/>
      <c r="AG379" s="105"/>
      <c r="AH379" s="53"/>
    </row>
    <row r="380" spans="2:34" ht="30">
      <c r="B380" s="97" t="s">
        <v>2632</v>
      </c>
      <c r="C380" s="97" t="s">
        <v>2894</v>
      </c>
      <c r="D380" s="75" t="str">
        <f t="shared" si="31"/>
        <v>YT-Composite packaging, glass receptacle in plywood drum</v>
      </c>
      <c r="O380" s="107"/>
      <c r="AF380" s="53"/>
      <c r="AG380" s="105"/>
      <c r="AH380" s="53"/>
    </row>
    <row r="381" spans="2:34" ht="26.25">
      <c r="B381" s="97" t="s">
        <v>2895</v>
      </c>
      <c r="C381" s="97" t="s">
        <v>2896</v>
      </c>
      <c r="D381" s="108" t="str">
        <f t="shared" si="31"/>
        <v>YV-Composite packaging, glass receptacle in wickerwork hamper</v>
      </c>
      <c r="O381" s="107"/>
      <c r="AF381" s="53"/>
      <c r="AG381" s="105"/>
      <c r="AH381" s="53"/>
    </row>
    <row r="382" spans="2:34" ht="26.25">
      <c r="B382" s="97" t="s">
        <v>2897</v>
      </c>
      <c r="C382" s="97" t="s">
        <v>2898</v>
      </c>
      <c r="D382" s="108" t="str">
        <f t="shared" si="31"/>
        <v>YW-Composite packaging, glass receptacle in fibre drum</v>
      </c>
      <c r="O382" s="107"/>
      <c r="AF382" s="53"/>
      <c r="AG382" s="105"/>
      <c r="AH382" s="53"/>
    </row>
    <row r="383" spans="2:34" ht="26.25">
      <c r="B383" s="97" t="s">
        <v>2899</v>
      </c>
      <c r="C383" s="97" t="s">
        <v>2900</v>
      </c>
      <c r="D383" s="108" t="str">
        <f t="shared" si="31"/>
        <v>YX-Composite packaging, glass receptacle in fibreboard box</v>
      </c>
      <c r="O383" s="107"/>
      <c r="AF383" s="53"/>
      <c r="AG383" s="105"/>
      <c r="AH383" s="53"/>
    </row>
    <row r="384" spans="2:34" ht="26.25">
      <c r="B384" s="97" t="s">
        <v>2901</v>
      </c>
      <c r="C384" s="97" t="s">
        <v>2902</v>
      </c>
      <c r="D384" s="108" t="str">
        <f t="shared" si="31"/>
        <v>YY-Composite packaging, glass receptacle in expandable plastic pack</v>
      </c>
      <c r="O384" s="107"/>
      <c r="AF384" s="53"/>
      <c r="AG384" s="105"/>
      <c r="AH384" s="53"/>
    </row>
    <row r="385" spans="2:34" ht="26.25">
      <c r="B385" s="97" t="s">
        <v>2903</v>
      </c>
      <c r="C385" s="97" t="s">
        <v>2904</v>
      </c>
      <c r="D385" s="108" t="str">
        <f t="shared" si="31"/>
        <v>YZ-Composite packaging, glass receptacle in solid plastic pack</v>
      </c>
      <c r="O385" s="107"/>
      <c r="AF385" s="53"/>
      <c r="AG385" s="105"/>
      <c r="AH385" s="53"/>
    </row>
    <row r="386" spans="2:34" ht="26.25">
      <c r="B386" s="97" t="s">
        <v>2638</v>
      </c>
      <c r="C386" s="97" t="s">
        <v>2905</v>
      </c>
      <c r="D386" s="108" t="str">
        <f t="shared" si="31"/>
        <v>ZA-Intermediate bulk container, paper, multi-wall</v>
      </c>
      <c r="O386" s="107"/>
      <c r="AF386" s="53"/>
      <c r="AG386" s="105"/>
      <c r="AH386" s="53"/>
    </row>
    <row r="387" spans="2:34" ht="15">
      <c r="B387" s="97" t="s">
        <v>2906</v>
      </c>
      <c r="C387" s="97" t="s">
        <v>2907</v>
      </c>
      <c r="D387" s="108" t="str">
        <f t="shared" si="31"/>
        <v>ZB-Bag, large</v>
      </c>
      <c r="O387" s="107"/>
      <c r="AF387" s="53"/>
      <c r="AG387" s="105"/>
      <c r="AH387" s="53"/>
    </row>
    <row r="388" spans="2:34" ht="26.25">
      <c r="B388" s="97" t="s">
        <v>2908</v>
      </c>
      <c r="C388" s="97" t="s">
        <v>2909</v>
      </c>
      <c r="D388" s="108" t="str">
        <f t="shared" si="31"/>
        <v>ZC-Intermediate bulk container, paper, multi-wall, water resistant</v>
      </c>
      <c r="O388" s="107"/>
      <c r="AF388" s="53"/>
      <c r="AG388" s="105"/>
      <c r="AH388" s="53"/>
    </row>
    <row r="389" spans="2:34" ht="26.25">
      <c r="B389" s="97" t="s">
        <v>2910</v>
      </c>
      <c r="C389" s="97" t="s">
        <v>2911</v>
      </c>
      <c r="D389" s="108" t="str">
        <f t="shared" si="31"/>
        <v>ZD-Intermediate bulk container, rigid plastic, with structural equipment, solids</v>
      </c>
      <c r="O389" s="107"/>
      <c r="AF389" s="53"/>
      <c r="AG389" s="105"/>
      <c r="AH389" s="53"/>
    </row>
    <row r="390" spans="2:34" ht="26.25">
      <c r="B390" s="97" t="s">
        <v>2912</v>
      </c>
      <c r="C390" s="97" t="s">
        <v>2913</v>
      </c>
      <c r="D390" s="108" t="str">
        <f t="shared" si="31"/>
        <v>ZF-Intermediate bulk container, rigid plastic, freestanding, solids</v>
      </c>
      <c r="O390" s="107"/>
      <c r="AF390" s="53"/>
      <c r="AG390" s="105"/>
      <c r="AH390" s="53"/>
    </row>
    <row r="391" spans="2:34" ht="26.25">
      <c r="B391" s="97" t="s">
        <v>2914</v>
      </c>
      <c r="C391" s="97" t="s">
        <v>2915</v>
      </c>
      <c r="D391" s="108" t="str">
        <f t="shared" si="31"/>
        <v>ZG-Intermediate bulk container, rigid plastic, with structural equipment, pressurised</v>
      </c>
      <c r="O391" s="107"/>
      <c r="AF391" s="53"/>
      <c r="AG391" s="105"/>
      <c r="AH391" s="53"/>
    </row>
    <row r="392" spans="2:34" ht="26.25">
      <c r="B392" s="97" t="s">
        <v>2916</v>
      </c>
      <c r="C392" s="97" t="s">
        <v>2917</v>
      </c>
      <c r="D392" s="108" t="str">
        <f t="shared" si="31"/>
        <v>ZH-Intermediate bulk container, rigid plastic, freestanding, pressurised</v>
      </c>
      <c r="O392" s="107"/>
      <c r="AF392" s="53"/>
      <c r="AG392" s="105"/>
      <c r="AH392" s="53"/>
    </row>
    <row r="393" spans="2:34" ht="26.25">
      <c r="B393" s="97" t="s">
        <v>2918</v>
      </c>
      <c r="C393" s="97" t="s">
        <v>2919</v>
      </c>
      <c r="D393" s="108" t="str">
        <f t="shared" si="31"/>
        <v>ZJ-Intermediate bulk container, rigid plastic, with structural equipment, liquids</v>
      </c>
      <c r="O393" s="107"/>
      <c r="AF393" s="53"/>
      <c r="AG393" s="105"/>
      <c r="AH393" s="53"/>
    </row>
    <row r="394" spans="2:34" ht="26.25">
      <c r="B394" s="97" t="s">
        <v>2920</v>
      </c>
      <c r="C394" s="97" t="s">
        <v>2921</v>
      </c>
      <c r="D394" s="108" t="str">
        <f t="shared" si="31"/>
        <v>ZK-Intermediate bulk container, rigid plastic, freestanding, liquids</v>
      </c>
      <c r="O394" s="107"/>
      <c r="AF394" s="53"/>
      <c r="AG394" s="105"/>
      <c r="AH394" s="53"/>
    </row>
    <row r="395" spans="2:34" ht="26.25">
      <c r="B395" s="97" t="s">
        <v>2922</v>
      </c>
      <c r="C395" s="97" t="s">
        <v>2923</v>
      </c>
      <c r="D395" s="108" t="str">
        <f t="shared" si="31"/>
        <v>ZL-Intermediate bulk container, composite, rigid plastic, solids</v>
      </c>
      <c r="O395" s="107"/>
      <c r="AF395" s="53"/>
      <c r="AG395" s="105"/>
      <c r="AH395" s="53"/>
    </row>
    <row r="396" spans="2:34" ht="26.25">
      <c r="B396" s="97" t="s">
        <v>2644</v>
      </c>
      <c r="C396" s="97" t="s">
        <v>2924</v>
      </c>
      <c r="D396" s="108" t="str">
        <f t="shared" si="31"/>
        <v>ZM-Intermediate bulk container, composite, flexible plastic, solids</v>
      </c>
      <c r="O396" s="107"/>
      <c r="AF396" s="53"/>
      <c r="AG396" s="105"/>
      <c r="AH396" s="53"/>
    </row>
    <row r="397" spans="2:34" ht="26.25">
      <c r="B397" s="97" t="s">
        <v>2925</v>
      </c>
      <c r="C397" s="97" t="s">
        <v>2926</v>
      </c>
      <c r="D397" s="108" t="str">
        <f t="shared" si="31"/>
        <v>ZN-Intermediate bulk container, composite, rigid plastic, pressurised</v>
      </c>
      <c r="O397" s="107"/>
      <c r="AF397" s="53"/>
      <c r="AG397" s="105"/>
      <c r="AH397" s="53"/>
    </row>
    <row r="398" spans="2:34" ht="26.25">
      <c r="B398" s="97" t="s">
        <v>2927</v>
      </c>
      <c r="C398" s="97" t="s">
        <v>2928</v>
      </c>
      <c r="D398" s="108" t="str">
        <f t="shared" si="31"/>
        <v>ZP-Intermediate bulk container, composite, flexible plastic, pressurised</v>
      </c>
      <c r="O398" s="107"/>
      <c r="AF398" s="53"/>
      <c r="AG398" s="105"/>
      <c r="AH398" s="53"/>
    </row>
    <row r="399" spans="2:34" ht="26.25">
      <c r="B399" s="97" t="s">
        <v>2929</v>
      </c>
      <c r="C399" s="97" t="s">
        <v>2930</v>
      </c>
      <c r="D399" s="108" t="str">
        <f t="shared" si="31"/>
        <v>ZQ-Intermediate bulk container, composite, rigid plastic, liquids</v>
      </c>
      <c r="O399" s="107"/>
      <c r="AF399" s="53"/>
      <c r="AG399" s="105"/>
      <c r="AH399" s="53"/>
    </row>
    <row r="400" spans="2:34" ht="26.25">
      <c r="B400" s="97" t="s">
        <v>2931</v>
      </c>
      <c r="C400" s="97" t="s">
        <v>2932</v>
      </c>
      <c r="D400" s="108" t="str">
        <f t="shared" si="31"/>
        <v>ZR-Intermediate bulk container, composite, flexible plastic, liquids</v>
      </c>
      <c r="O400" s="107"/>
      <c r="AF400" s="53"/>
      <c r="AG400" s="105"/>
      <c r="AH400" s="53"/>
    </row>
    <row r="401" spans="2:34" ht="15">
      <c r="B401" s="97" t="s">
        <v>2933</v>
      </c>
      <c r="C401" s="97" t="s">
        <v>2934</v>
      </c>
      <c r="D401" s="108" t="str">
        <f t="shared" si="31"/>
        <v>ZS-Intermediate bulk container, composite</v>
      </c>
      <c r="O401" s="107"/>
      <c r="AF401" s="53"/>
      <c r="AG401" s="105"/>
      <c r="AH401" s="53"/>
    </row>
    <row r="402" spans="2:34" ht="15">
      <c r="B402" s="97" t="s">
        <v>2935</v>
      </c>
      <c r="C402" s="97" t="s">
        <v>2936</v>
      </c>
      <c r="D402" s="108" t="str">
        <f t="shared" si="31"/>
        <v>ZT-Intermediate bulk container, fibreboard</v>
      </c>
      <c r="O402" s="107"/>
      <c r="AF402" s="53"/>
      <c r="AG402" s="105"/>
      <c r="AH402" s="53"/>
    </row>
    <row r="403" spans="2:34" ht="15">
      <c r="B403" s="97" t="s">
        <v>2937</v>
      </c>
      <c r="C403" s="97" t="s">
        <v>2938</v>
      </c>
      <c r="D403" s="108" t="str">
        <f t="shared" si="31"/>
        <v>ZU-Intermediate bulk container, flexible</v>
      </c>
      <c r="O403" s="107"/>
      <c r="AF403" s="53"/>
      <c r="AG403" s="105"/>
      <c r="AH403" s="53"/>
    </row>
    <row r="404" spans="2:34" ht="26.25">
      <c r="B404" s="97" t="s">
        <v>2939</v>
      </c>
      <c r="C404" s="97" t="s">
        <v>2940</v>
      </c>
      <c r="D404" s="108" t="str">
        <f t="shared" si="31"/>
        <v>ZV-Intermediate bulk container, metal, other than steel</v>
      </c>
      <c r="O404" s="107"/>
      <c r="AF404" s="53"/>
      <c r="AG404" s="105"/>
      <c r="AH404" s="53"/>
    </row>
    <row r="405" spans="2:34" ht="15">
      <c r="B405" s="97" t="s">
        <v>2650</v>
      </c>
      <c r="C405" s="97" t="s">
        <v>2941</v>
      </c>
      <c r="D405" s="108" t="str">
        <f t="shared" si="31"/>
        <v>ZW-Intermediate bulk container, natural wood</v>
      </c>
      <c r="O405" s="107"/>
      <c r="AF405" s="53"/>
      <c r="AG405" s="105"/>
      <c r="AH405" s="53"/>
    </row>
    <row r="406" spans="2:34" ht="15">
      <c r="B406" s="97" t="s">
        <v>2942</v>
      </c>
      <c r="C406" s="97" t="s">
        <v>2943</v>
      </c>
      <c r="D406" s="108" t="str">
        <f t="shared" si="31"/>
        <v>ZX-Intermediate bulk container, plywood</v>
      </c>
      <c r="O406" s="107"/>
      <c r="AF406" s="53"/>
      <c r="AG406" s="105"/>
      <c r="AH406" s="53"/>
    </row>
    <row r="407" spans="2:34" ht="26.25">
      <c r="B407" s="97" t="s">
        <v>2944</v>
      </c>
      <c r="C407" s="97" t="s">
        <v>2945</v>
      </c>
      <c r="D407" s="108" t="str">
        <f t="shared" si="31"/>
        <v>ZY-Intermediate bulk container, reconstituted wood</v>
      </c>
      <c r="O407" s="107"/>
      <c r="AF407" s="53"/>
      <c r="AG407" s="105"/>
      <c r="AH407" s="53"/>
    </row>
    <row r="408" spans="2:34" ht="15">
      <c r="B408" s="109" t="s">
        <v>2946</v>
      </c>
      <c r="C408" s="109" t="s">
        <v>2947</v>
      </c>
      <c r="D408" s="110" t="str">
        <f t="shared" si="31"/>
        <v>ZZ-Mutually defined</v>
      </c>
      <c r="O408" s="107"/>
      <c r="AF408" s="53"/>
      <c r="AG408" s="105"/>
      <c r="AH408" s="53"/>
    </row>
    <row r="409" spans="2:34" ht="15">
      <c r="O409" s="107"/>
      <c r="AF409" s="53"/>
      <c r="AG409" s="105"/>
      <c r="AH409" s="53"/>
    </row>
    <row r="410" spans="2:34" ht="15">
      <c r="O410" s="107"/>
      <c r="AF410" s="53"/>
      <c r="AG410" s="105"/>
      <c r="AH410" s="53"/>
    </row>
    <row r="411" spans="2:34" ht="15">
      <c r="O411" s="107"/>
      <c r="AF411" s="53"/>
      <c r="AG411" s="105"/>
      <c r="AH411" s="53"/>
    </row>
    <row r="412" spans="2:34" ht="15">
      <c r="O412" s="107"/>
      <c r="AF412" s="53"/>
      <c r="AG412" s="105"/>
      <c r="AH412" s="53"/>
    </row>
    <row r="413" spans="2:34" ht="15">
      <c r="O413" s="107"/>
      <c r="AF413" s="53"/>
      <c r="AG413" s="105"/>
      <c r="AH413" s="53"/>
    </row>
    <row r="414" spans="2:34" ht="15">
      <c r="O414" s="107"/>
      <c r="AF414" s="53"/>
      <c r="AG414" s="105"/>
      <c r="AH414" s="53"/>
    </row>
    <row r="415" spans="2:34" ht="15">
      <c r="O415" s="107"/>
      <c r="AF415" s="53"/>
      <c r="AG415" s="105"/>
      <c r="AH415" s="53"/>
    </row>
    <row r="416" spans="2:34" ht="15">
      <c r="O416" s="107"/>
      <c r="AF416" s="53"/>
      <c r="AG416" s="105"/>
      <c r="AH416" s="53"/>
    </row>
    <row r="417" spans="15:34" ht="15">
      <c r="O417" s="107"/>
      <c r="AF417" s="53"/>
      <c r="AG417" s="105"/>
      <c r="AH417" s="53"/>
    </row>
    <row r="418" spans="15:34" ht="15">
      <c r="O418" s="107"/>
      <c r="AF418" s="53"/>
      <c r="AG418" s="105"/>
      <c r="AH418" s="53"/>
    </row>
    <row r="419" spans="15:34" ht="15">
      <c r="O419" s="107"/>
      <c r="AF419" s="53"/>
      <c r="AG419" s="105"/>
      <c r="AH419" s="53"/>
    </row>
    <row r="420" spans="15:34" ht="15">
      <c r="O420" s="107"/>
      <c r="AF420" s="53"/>
      <c r="AG420" s="105"/>
      <c r="AH420" s="53"/>
    </row>
    <row r="421" spans="15:34" ht="15">
      <c r="O421" s="107"/>
      <c r="AF421" s="53"/>
      <c r="AG421" s="105"/>
      <c r="AH421" s="53"/>
    </row>
    <row r="422" spans="15:34" ht="15">
      <c r="O422" s="107"/>
      <c r="AF422" s="53"/>
      <c r="AG422" s="105"/>
      <c r="AH422" s="53"/>
    </row>
    <row r="423" spans="15:34" ht="15">
      <c r="O423" s="107"/>
      <c r="AF423" s="53"/>
      <c r="AG423" s="105"/>
      <c r="AH423" s="53"/>
    </row>
    <row r="424" spans="15:34" ht="15">
      <c r="O424" s="107"/>
      <c r="AF424" s="53"/>
      <c r="AG424" s="105"/>
      <c r="AH424" s="53"/>
    </row>
    <row r="425" spans="15:34" ht="15">
      <c r="O425" s="107"/>
      <c r="AF425" s="53"/>
      <c r="AG425" s="105"/>
      <c r="AH425" s="53"/>
    </row>
    <row r="426" spans="15:34" ht="15">
      <c r="O426" s="107"/>
      <c r="AF426" s="53"/>
      <c r="AG426" s="105"/>
      <c r="AH426" s="53"/>
    </row>
    <row r="427" spans="15:34" ht="15">
      <c r="O427" s="107"/>
      <c r="AF427" s="53"/>
      <c r="AG427" s="105"/>
      <c r="AH427" s="53"/>
    </row>
    <row r="428" spans="15:34" ht="15">
      <c r="O428" s="107"/>
      <c r="AF428" s="53"/>
      <c r="AG428" s="105"/>
      <c r="AH428" s="53"/>
    </row>
    <row r="429" spans="15:34" ht="15">
      <c r="O429" s="107"/>
      <c r="AF429" s="53"/>
      <c r="AG429" s="105"/>
      <c r="AH429" s="53"/>
    </row>
    <row r="430" spans="15:34" ht="15">
      <c r="O430" s="107"/>
      <c r="AF430" s="53"/>
      <c r="AG430" s="105"/>
      <c r="AH430" s="53"/>
    </row>
    <row r="431" spans="15:34" ht="15">
      <c r="O431" s="107"/>
      <c r="AF431" s="53"/>
      <c r="AG431" s="105"/>
      <c r="AH431" s="53"/>
    </row>
    <row r="432" spans="15:34" ht="15">
      <c r="O432" s="107"/>
      <c r="AF432" s="53"/>
      <c r="AG432" s="105"/>
      <c r="AH432" s="53"/>
    </row>
    <row r="433" spans="15:34" ht="15">
      <c r="O433" s="107"/>
      <c r="AF433" s="53"/>
      <c r="AG433" s="105"/>
      <c r="AH433" s="53"/>
    </row>
    <row r="434" spans="15:34" ht="15">
      <c r="O434" s="107"/>
      <c r="AF434" s="53"/>
      <c r="AG434" s="105"/>
      <c r="AH434" s="53"/>
    </row>
    <row r="435" spans="15:34" ht="15">
      <c r="O435" s="107"/>
      <c r="AF435" s="53"/>
      <c r="AG435" s="105"/>
      <c r="AH435" s="53"/>
    </row>
    <row r="436" spans="15:34" ht="15">
      <c r="O436" s="107"/>
      <c r="AF436" s="53"/>
      <c r="AG436" s="105"/>
      <c r="AH436" s="53"/>
    </row>
    <row r="437" spans="15:34" ht="15">
      <c r="O437" s="107"/>
      <c r="AF437" s="53"/>
      <c r="AG437" s="105"/>
      <c r="AH437" s="53"/>
    </row>
    <row r="438" spans="15:34" ht="15">
      <c r="O438" s="107"/>
      <c r="AF438" s="53"/>
      <c r="AG438" s="105"/>
      <c r="AH438" s="53"/>
    </row>
    <row r="439" spans="15:34" ht="15">
      <c r="O439" s="107"/>
      <c r="AF439" s="53"/>
      <c r="AG439" s="105"/>
      <c r="AH439" s="53"/>
    </row>
    <row r="440" spans="15:34" ht="15">
      <c r="O440" s="107"/>
      <c r="AF440" s="53"/>
      <c r="AG440" s="105"/>
      <c r="AH440" s="53"/>
    </row>
    <row r="441" spans="15:34" ht="15">
      <c r="O441" s="107"/>
      <c r="AF441" s="53"/>
      <c r="AG441" s="105"/>
      <c r="AH441" s="53"/>
    </row>
    <row r="442" spans="15:34" ht="15">
      <c r="O442" s="107"/>
      <c r="AF442" s="53"/>
      <c r="AG442" s="105"/>
      <c r="AH442" s="53"/>
    </row>
    <row r="443" spans="15:34" ht="15">
      <c r="O443" s="107"/>
      <c r="AF443" s="53"/>
      <c r="AG443" s="105"/>
      <c r="AH443" s="53"/>
    </row>
    <row r="444" spans="15:34" ht="15">
      <c r="O444" s="107"/>
      <c r="AF444" s="53"/>
      <c r="AG444" s="105"/>
      <c r="AH444" s="53"/>
    </row>
    <row r="445" spans="15:34" ht="15">
      <c r="O445" s="107"/>
      <c r="AF445" s="53"/>
      <c r="AG445" s="105"/>
      <c r="AH445" s="53"/>
    </row>
    <row r="446" spans="15:34" ht="15">
      <c r="O446" s="107"/>
      <c r="AF446" s="53"/>
      <c r="AG446" s="105"/>
      <c r="AH446" s="53"/>
    </row>
    <row r="447" spans="15:34" ht="15">
      <c r="O447" s="107"/>
      <c r="AF447" s="53"/>
      <c r="AG447" s="105"/>
      <c r="AH447" s="53"/>
    </row>
    <row r="448" spans="15:34" ht="15">
      <c r="O448" s="107"/>
      <c r="AF448" s="53"/>
      <c r="AG448" s="105"/>
      <c r="AH448" s="53"/>
    </row>
    <row r="449" spans="15:34" ht="15">
      <c r="O449" s="107"/>
      <c r="AF449" s="53"/>
      <c r="AG449" s="105"/>
      <c r="AH449" s="53"/>
    </row>
    <row r="450" spans="15:34" ht="15">
      <c r="O450" s="107"/>
      <c r="AF450" s="53"/>
      <c r="AG450" s="105"/>
      <c r="AH450" s="53"/>
    </row>
    <row r="451" spans="15:34" ht="15">
      <c r="O451" s="107"/>
      <c r="AF451" s="53"/>
      <c r="AG451" s="105"/>
      <c r="AH451" s="53"/>
    </row>
    <row r="452" spans="15:34" ht="15">
      <c r="O452" s="107"/>
      <c r="AF452" s="53"/>
      <c r="AG452" s="105"/>
      <c r="AH452" s="53"/>
    </row>
    <row r="453" spans="15:34" ht="15">
      <c r="O453" s="107"/>
      <c r="AF453" s="53"/>
      <c r="AG453" s="105"/>
      <c r="AH453" s="53"/>
    </row>
    <row r="454" spans="15:34" ht="15">
      <c r="O454" s="107"/>
      <c r="AF454" s="53"/>
      <c r="AG454" s="105"/>
      <c r="AH454" s="53"/>
    </row>
    <row r="455" spans="15:34" ht="15">
      <c r="O455" s="107"/>
      <c r="AF455" s="53"/>
      <c r="AG455" s="105"/>
      <c r="AH455" s="53"/>
    </row>
    <row r="456" spans="15:34" ht="15">
      <c r="O456" s="107"/>
      <c r="AF456" s="53"/>
      <c r="AG456" s="105"/>
      <c r="AH456" s="53"/>
    </row>
    <row r="457" spans="15:34" ht="15">
      <c r="O457" s="107"/>
      <c r="AF457" s="53"/>
      <c r="AG457" s="105"/>
      <c r="AH457" s="53"/>
    </row>
    <row r="458" spans="15:34" ht="15">
      <c r="O458" s="107"/>
      <c r="AF458" s="53"/>
      <c r="AG458" s="105"/>
      <c r="AH458" s="53"/>
    </row>
    <row r="459" spans="15:34" ht="15">
      <c r="O459" s="107"/>
      <c r="AF459" s="53"/>
      <c r="AG459" s="105"/>
      <c r="AH459" s="53"/>
    </row>
    <row r="460" spans="15:34" ht="15">
      <c r="O460" s="107"/>
      <c r="AF460" s="53"/>
      <c r="AG460" s="105"/>
      <c r="AH460" s="53"/>
    </row>
    <row r="461" spans="15:34" ht="15">
      <c r="AF461" s="53"/>
      <c r="AG461" s="105"/>
      <c r="AH461" s="53"/>
    </row>
    <row r="462" spans="15:34" ht="15">
      <c r="AF462" s="53"/>
      <c r="AG462" s="105"/>
      <c r="AH462" s="53"/>
    </row>
    <row r="463" spans="15:34" ht="15">
      <c r="AF463" s="53"/>
      <c r="AG463" s="105"/>
      <c r="AH463" s="53"/>
    </row>
    <row r="464" spans="15:34" ht="15">
      <c r="AF464" s="53"/>
      <c r="AG464" s="105"/>
      <c r="AH464" s="53"/>
    </row>
    <row r="465" spans="32:34" ht="15">
      <c r="AF465" s="53"/>
      <c r="AG465" s="105"/>
      <c r="AH465" s="53"/>
    </row>
    <row r="466" spans="32:34" ht="15">
      <c r="AF466" s="53"/>
      <c r="AG466" s="105"/>
      <c r="AH466" s="53"/>
    </row>
    <row r="467" spans="32:34" ht="15">
      <c r="AF467" s="53"/>
      <c r="AG467" s="105"/>
      <c r="AH467" s="53"/>
    </row>
    <row r="468" spans="32:34" ht="15">
      <c r="AF468" s="53"/>
      <c r="AG468" s="105"/>
      <c r="AH468" s="53"/>
    </row>
    <row r="469" spans="32:34" ht="15">
      <c r="AF469" s="53"/>
      <c r="AG469" s="105"/>
      <c r="AH469" s="53"/>
    </row>
    <row r="470" spans="32:34" ht="15">
      <c r="AF470" s="53"/>
      <c r="AG470" s="105"/>
      <c r="AH470" s="53"/>
    </row>
    <row r="471" spans="32:34" ht="15">
      <c r="AF471" s="53"/>
      <c r="AG471" s="105"/>
      <c r="AH471" s="53"/>
    </row>
    <row r="472" spans="32:34" ht="15">
      <c r="AF472" s="53"/>
      <c r="AG472" s="105"/>
      <c r="AH472" s="53"/>
    </row>
    <row r="473" spans="32:34" ht="15">
      <c r="AF473" s="53"/>
      <c r="AG473" s="105"/>
      <c r="AH473" s="53"/>
    </row>
    <row r="474" spans="32:34" ht="15">
      <c r="AF474" s="53"/>
      <c r="AG474" s="105"/>
      <c r="AH474" s="53"/>
    </row>
    <row r="475" spans="32:34" ht="15">
      <c r="AF475" s="53"/>
      <c r="AG475" s="105"/>
      <c r="AH475" s="53"/>
    </row>
    <row r="476" spans="32:34" ht="15">
      <c r="AF476" s="53"/>
      <c r="AG476" s="105"/>
      <c r="AH476" s="53"/>
    </row>
    <row r="477" spans="32:34" ht="15">
      <c r="AF477" s="53"/>
      <c r="AG477" s="105"/>
      <c r="AH477" s="53"/>
    </row>
    <row r="478" spans="32:34" ht="15">
      <c r="AF478" s="53"/>
      <c r="AG478" s="105"/>
      <c r="AH478" s="53"/>
    </row>
    <row r="479" spans="32:34" ht="15">
      <c r="AF479" s="53"/>
      <c r="AG479" s="105"/>
      <c r="AH479" s="53"/>
    </row>
    <row r="480" spans="32:34" ht="15">
      <c r="AF480" s="53"/>
      <c r="AG480" s="105"/>
      <c r="AH480" s="53"/>
    </row>
    <row r="481" spans="32:34" ht="15">
      <c r="AF481" s="53"/>
      <c r="AG481" s="105"/>
      <c r="AH481" s="53"/>
    </row>
    <row r="482" spans="32:34" ht="15">
      <c r="AF482" s="53"/>
      <c r="AG482" s="105"/>
      <c r="AH482" s="53"/>
    </row>
    <row r="483" spans="32:34" ht="15">
      <c r="AF483" s="53"/>
      <c r="AG483" s="105"/>
      <c r="AH483" s="53"/>
    </row>
    <row r="484" spans="32:34" ht="15">
      <c r="AF484" s="53"/>
      <c r="AG484" s="105"/>
      <c r="AH484" s="53"/>
    </row>
    <row r="485" spans="32:34" ht="15">
      <c r="AF485" s="53"/>
      <c r="AG485" s="105"/>
      <c r="AH485" s="53"/>
    </row>
    <row r="486" spans="32:34" ht="15">
      <c r="AF486" s="53"/>
      <c r="AG486" s="105"/>
      <c r="AH486" s="53"/>
    </row>
    <row r="487" spans="32:34" ht="15">
      <c r="AF487" s="53"/>
      <c r="AG487" s="105"/>
      <c r="AH487" s="53"/>
    </row>
    <row r="488" spans="32:34" ht="15">
      <c r="AF488" s="53"/>
      <c r="AG488" s="105"/>
      <c r="AH488" s="53"/>
    </row>
    <row r="489" spans="32:34" ht="15">
      <c r="AF489" s="53"/>
      <c r="AG489" s="105"/>
      <c r="AH489" s="53"/>
    </row>
    <row r="490" spans="32:34" ht="15">
      <c r="AF490" s="53"/>
      <c r="AG490" s="105"/>
      <c r="AH490" s="53"/>
    </row>
    <row r="491" spans="32:34" ht="15">
      <c r="AF491" s="53"/>
      <c r="AG491" s="105"/>
      <c r="AH491" s="53"/>
    </row>
    <row r="492" spans="32:34" ht="15">
      <c r="AF492" s="53"/>
      <c r="AG492" s="105"/>
      <c r="AH492" s="53"/>
    </row>
    <row r="493" spans="32:34" ht="15">
      <c r="AF493" s="53"/>
      <c r="AG493" s="105"/>
      <c r="AH493" s="53"/>
    </row>
    <row r="494" spans="32:34" ht="15">
      <c r="AF494" s="53"/>
      <c r="AG494" s="105"/>
      <c r="AH494" s="53"/>
    </row>
    <row r="495" spans="32:34" ht="15">
      <c r="AF495" s="53"/>
      <c r="AG495" s="105"/>
      <c r="AH495" s="53"/>
    </row>
    <row r="496" spans="32:34" ht="15">
      <c r="AF496" s="53"/>
      <c r="AG496" s="105"/>
      <c r="AH496" s="53"/>
    </row>
    <row r="497" spans="32:34" ht="15">
      <c r="AF497" s="53"/>
      <c r="AG497" s="105"/>
      <c r="AH497" s="53"/>
    </row>
    <row r="498" spans="32:34" ht="15">
      <c r="AF498" s="53"/>
      <c r="AG498" s="105"/>
      <c r="AH498" s="53"/>
    </row>
    <row r="499" spans="32:34" ht="15">
      <c r="AF499" s="53"/>
      <c r="AG499" s="105"/>
      <c r="AH499" s="53"/>
    </row>
    <row r="500" spans="32:34" ht="15">
      <c r="AF500" s="53"/>
      <c r="AG500" s="105"/>
      <c r="AH500" s="53"/>
    </row>
    <row r="501" spans="32:34" ht="15">
      <c r="AF501" s="53"/>
      <c r="AG501" s="105"/>
      <c r="AH501" s="53"/>
    </row>
    <row r="502" spans="32:34" ht="15">
      <c r="AF502" s="53"/>
      <c r="AG502" s="105"/>
      <c r="AH502" s="53"/>
    </row>
    <row r="503" spans="32:34" ht="15">
      <c r="AF503" s="53"/>
      <c r="AG503" s="105"/>
      <c r="AH503" s="53"/>
    </row>
    <row r="504" spans="32:34" ht="15">
      <c r="AF504" s="53"/>
      <c r="AG504" s="105"/>
      <c r="AH504" s="53"/>
    </row>
    <row r="505" spans="32:34" ht="15">
      <c r="AF505" s="53"/>
      <c r="AG505" s="105"/>
      <c r="AH505" s="53"/>
    </row>
    <row r="506" spans="32:34" ht="15">
      <c r="AF506" s="53"/>
      <c r="AG506" s="105"/>
      <c r="AH506" s="53"/>
    </row>
    <row r="507" spans="32:34" ht="15">
      <c r="AF507" s="53"/>
      <c r="AG507" s="105"/>
      <c r="AH507" s="53"/>
    </row>
    <row r="508" spans="32:34" ht="15">
      <c r="AF508" s="53"/>
      <c r="AG508" s="105"/>
      <c r="AH508" s="53"/>
    </row>
    <row r="509" spans="32:34" ht="15">
      <c r="AF509" s="53"/>
      <c r="AG509" s="105"/>
      <c r="AH509" s="53"/>
    </row>
    <row r="510" spans="32:34" ht="15">
      <c r="AF510" s="53"/>
      <c r="AG510" s="105"/>
      <c r="AH510" s="53"/>
    </row>
    <row r="511" spans="32:34" ht="15">
      <c r="AF511" s="53"/>
      <c r="AG511" s="105"/>
      <c r="AH511" s="53"/>
    </row>
    <row r="512" spans="32:34" ht="15">
      <c r="AF512" s="53"/>
      <c r="AG512" s="105"/>
      <c r="AH512" s="53"/>
    </row>
    <row r="513" spans="32:34" ht="15">
      <c r="AF513" s="53"/>
      <c r="AG513" s="105"/>
      <c r="AH513" s="53"/>
    </row>
    <row r="514" spans="32:34" ht="15">
      <c r="AF514" s="53"/>
      <c r="AG514" s="105"/>
      <c r="AH514" s="53"/>
    </row>
    <row r="515" spans="32:34" ht="15">
      <c r="AF515" s="53"/>
      <c r="AG515" s="105"/>
      <c r="AH515" s="53"/>
    </row>
    <row r="516" spans="32:34" ht="15">
      <c r="AF516" s="53"/>
      <c r="AG516" s="105"/>
      <c r="AH516" s="53"/>
    </row>
    <row r="517" spans="32:34" ht="15">
      <c r="AF517" s="53"/>
      <c r="AG517" s="105"/>
      <c r="AH517" s="53"/>
    </row>
    <row r="518" spans="32:34" ht="15">
      <c r="AF518" s="53"/>
      <c r="AG518" s="105"/>
      <c r="AH518" s="53"/>
    </row>
    <row r="519" spans="32:34" ht="15">
      <c r="AF519" s="53"/>
      <c r="AG519" s="105"/>
      <c r="AH519" s="53"/>
    </row>
    <row r="520" spans="32:34" ht="15">
      <c r="AF520" s="53"/>
      <c r="AG520" s="105"/>
      <c r="AH520" s="53"/>
    </row>
    <row r="521" spans="32:34" ht="15">
      <c r="AF521" s="53"/>
      <c r="AG521" s="105"/>
      <c r="AH521" s="53"/>
    </row>
    <row r="522" spans="32:34" ht="15">
      <c r="AF522" s="53"/>
      <c r="AG522" s="105"/>
      <c r="AH522" s="53"/>
    </row>
    <row r="523" spans="32:34" ht="15">
      <c r="AF523" s="53"/>
      <c r="AG523" s="105"/>
      <c r="AH523" s="53"/>
    </row>
    <row r="524" spans="32:34" ht="15">
      <c r="AF524" s="53"/>
      <c r="AG524" s="105"/>
      <c r="AH524" s="53"/>
    </row>
    <row r="525" spans="32:34" ht="15">
      <c r="AF525" s="53"/>
      <c r="AG525" s="105"/>
      <c r="AH525" s="53"/>
    </row>
    <row r="526" spans="32:34" ht="15">
      <c r="AF526" s="53"/>
      <c r="AG526" s="105"/>
      <c r="AH526" s="53"/>
    </row>
    <row r="527" spans="32:34" ht="15">
      <c r="AF527" s="53"/>
      <c r="AG527" s="105"/>
      <c r="AH527" s="53"/>
    </row>
    <row r="528" spans="32:34" ht="15">
      <c r="AF528" s="53"/>
      <c r="AG528" s="105"/>
      <c r="AH528" s="53"/>
    </row>
    <row r="529" spans="32:34" ht="15">
      <c r="AF529" s="53"/>
      <c r="AG529" s="105"/>
      <c r="AH529" s="53"/>
    </row>
    <row r="530" spans="32:34" ht="15">
      <c r="AF530" s="53"/>
      <c r="AG530" s="105"/>
      <c r="AH530" s="53"/>
    </row>
    <row r="531" spans="32:34" ht="15">
      <c r="AF531" s="53"/>
      <c r="AG531" s="105"/>
      <c r="AH531" s="53"/>
    </row>
    <row r="532" spans="32:34" ht="15">
      <c r="AF532" s="53"/>
      <c r="AG532" s="105"/>
      <c r="AH532" s="53"/>
    </row>
    <row r="533" spans="32:34" ht="15">
      <c r="AF533" s="53"/>
      <c r="AG533" s="105"/>
      <c r="AH533" s="53"/>
    </row>
    <row r="534" spans="32:34" ht="15">
      <c r="AF534" s="53"/>
      <c r="AG534" s="105"/>
      <c r="AH534" s="53"/>
    </row>
    <row r="535" spans="32:34" ht="15">
      <c r="AF535" s="53"/>
      <c r="AG535" s="105"/>
      <c r="AH535" s="53"/>
    </row>
    <row r="536" spans="32:34" ht="15">
      <c r="AF536" s="53"/>
      <c r="AG536" s="105"/>
      <c r="AH536" s="53"/>
    </row>
    <row r="537" spans="32:34" ht="15">
      <c r="AF537" s="53"/>
      <c r="AG537" s="105"/>
      <c r="AH537" s="53"/>
    </row>
    <row r="538" spans="32:34" ht="15">
      <c r="AF538" s="53"/>
      <c r="AG538" s="105"/>
      <c r="AH538" s="53"/>
    </row>
    <row r="539" spans="32:34" ht="15">
      <c r="AF539" s="53"/>
      <c r="AG539" s="105"/>
      <c r="AH539" s="53"/>
    </row>
    <row r="540" spans="32:34" ht="15">
      <c r="AF540" s="53"/>
      <c r="AG540" s="105"/>
      <c r="AH540" s="53"/>
    </row>
    <row r="541" spans="32:34" ht="15">
      <c r="AF541" s="53"/>
      <c r="AG541" s="105"/>
      <c r="AH541" s="53"/>
    </row>
    <row r="542" spans="32:34" ht="15">
      <c r="AF542" s="53"/>
      <c r="AG542" s="105"/>
      <c r="AH542" s="53"/>
    </row>
    <row r="543" spans="32:34" ht="15">
      <c r="AF543" s="53"/>
      <c r="AG543" s="105"/>
      <c r="AH543" s="53"/>
    </row>
    <row r="544" spans="32:34" ht="15">
      <c r="AF544" s="53"/>
      <c r="AG544" s="105"/>
      <c r="AH544" s="53"/>
    </row>
    <row r="545" spans="32:34" ht="15">
      <c r="AF545" s="53"/>
      <c r="AG545" s="105"/>
      <c r="AH545" s="53"/>
    </row>
    <row r="546" spans="32:34" ht="15">
      <c r="AF546" s="53"/>
      <c r="AG546" s="105"/>
      <c r="AH546" s="53"/>
    </row>
    <row r="547" spans="32:34" ht="15">
      <c r="AF547" s="53"/>
      <c r="AG547" s="105"/>
      <c r="AH547" s="53"/>
    </row>
    <row r="548" spans="32:34" ht="15">
      <c r="AF548" s="53"/>
      <c r="AG548" s="105"/>
      <c r="AH548" s="53"/>
    </row>
    <row r="549" spans="32:34" ht="15">
      <c r="AF549" s="53"/>
      <c r="AG549" s="105"/>
      <c r="AH549" s="53"/>
    </row>
    <row r="550" spans="32:34" ht="15">
      <c r="AF550" s="53"/>
      <c r="AG550" s="105"/>
      <c r="AH550" s="53"/>
    </row>
    <row r="551" spans="32:34" ht="15">
      <c r="AF551" s="53"/>
      <c r="AG551" s="105"/>
      <c r="AH551" s="53"/>
    </row>
    <row r="552" spans="32:34" ht="15">
      <c r="AF552" s="53"/>
      <c r="AG552" s="105"/>
      <c r="AH552" s="53"/>
    </row>
    <row r="553" spans="32:34" ht="15">
      <c r="AF553" s="53"/>
      <c r="AG553" s="105"/>
      <c r="AH553" s="53"/>
    </row>
    <row r="554" spans="32:34" ht="15">
      <c r="AF554" s="53"/>
      <c r="AG554" s="105"/>
      <c r="AH554" s="53"/>
    </row>
    <row r="555" spans="32:34" ht="15">
      <c r="AF555" s="53"/>
      <c r="AG555" s="105"/>
      <c r="AH555" s="53"/>
    </row>
    <row r="556" spans="32:34" ht="15">
      <c r="AF556" s="53"/>
      <c r="AG556" s="105"/>
      <c r="AH556" s="53"/>
    </row>
    <row r="557" spans="32:34" ht="15">
      <c r="AF557" s="53"/>
      <c r="AG557" s="105"/>
      <c r="AH557" s="53"/>
    </row>
    <row r="558" spans="32:34" ht="15">
      <c r="AF558" s="53"/>
      <c r="AG558" s="105"/>
      <c r="AH558" s="53"/>
    </row>
    <row r="559" spans="32:34" ht="15">
      <c r="AF559" s="53"/>
      <c r="AG559" s="105"/>
      <c r="AH559" s="53"/>
    </row>
    <row r="560" spans="32:34" ht="15">
      <c r="AF560" s="53"/>
      <c r="AG560" s="105"/>
      <c r="AH560" s="53"/>
    </row>
    <row r="561" spans="32:34" ht="15">
      <c r="AF561" s="53"/>
      <c r="AG561" s="105"/>
      <c r="AH561" s="53"/>
    </row>
    <row r="562" spans="32:34" ht="15">
      <c r="AF562" s="53"/>
      <c r="AG562" s="105"/>
      <c r="AH562" s="53"/>
    </row>
    <row r="563" spans="32:34" ht="15">
      <c r="AF563" s="53"/>
      <c r="AG563" s="105"/>
      <c r="AH563" s="53"/>
    </row>
    <row r="564" spans="32:34" ht="15">
      <c r="AF564" s="53"/>
      <c r="AG564" s="105"/>
      <c r="AH564" s="53"/>
    </row>
    <row r="565" spans="32:34" ht="15">
      <c r="AF565" s="53"/>
      <c r="AG565" s="105"/>
      <c r="AH565" s="53"/>
    </row>
    <row r="566" spans="32:34" ht="15">
      <c r="AF566" s="53"/>
      <c r="AG566" s="105"/>
      <c r="AH566" s="53"/>
    </row>
    <row r="567" spans="32:34" ht="15">
      <c r="AF567" s="53"/>
      <c r="AG567" s="105"/>
      <c r="AH567" s="53"/>
    </row>
    <row r="568" spans="32:34" ht="15">
      <c r="AF568" s="53"/>
      <c r="AG568" s="105"/>
      <c r="AH568" s="53"/>
    </row>
    <row r="569" spans="32:34" ht="15">
      <c r="AF569" s="53"/>
      <c r="AG569" s="105"/>
      <c r="AH569" s="53"/>
    </row>
    <row r="570" spans="32:34" ht="15">
      <c r="AF570" s="53"/>
      <c r="AG570" s="105"/>
      <c r="AH570" s="53"/>
    </row>
    <row r="571" spans="32:34" ht="15">
      <c r="AF571" s="53"/>
      <c r="AG571" s="105"/>
      <c r="AH571" s="53"/>
    </row>
    <row r="572" spans="32:34" ht="15">
      <c r="AF572" s="53"/>
      <c r="AG572" s="105"/>
      <c r="AH572" s="53"/>
    </row>
    <row r="573" spans="32:34" ht="15">
      <c r="AF573" s="53"/>
      <c r="AG573" s="105"/>
      <c r="AH573" s="53"/>
    </row>
    <row r="574" spans="32:34" ht="15">
      <c r="AF574" s="53"/>
      <c r="AG574" s="105"/>
      <c r="AH574" s="53"/>
    </row>
    <row r="575" spans="32:34" ht="15">
      <c r="AF575" s="53"/>
      <c r="AG575" s="105"/>
      <c r="AH575" s="53"/>
    </row>
    <row r="576" spans="32:34" ht="15">
      <c r="AF576" s="53"/>
      <c r="AG576" s="105"/>
      <c r="AH576" s="53"/>
    </row>
    <row r="577" spans="32:34" ht="15">
      <c r="AF577" s="53"/>
      <c r="AG577" s="105"/>
      <c r="AH577" s="53"/>
    </row>
    <row r="578" spans="32:34" ht="15">
      <c r="AF578" s="53"/>
      <c r="AG578" s="105"/>
      <c r="AH578" s="53"/>
    </row>
    <row r="579" spans="32:34" ht="15">
      <c r="AF579" s="53"/>
      <c r="AG579" s="105"/>
      <c r="AH579" s="53"/>
    </row>
    <row r="580" spans="32:34" ht="15">
      <c r="AF580" s="53"/>
      <c r="AG580" s="105"/>
      <c r="AH580" s="53"/>
    </row>
    <row r="581" spans="32:34" ht="15">
      <c r="AF581" s="53"/>
      <c r="AG581" s="105"/>
      <c r="AH581" s="53"/>
    </row>
    <row r="582" spans="32:34" ht="15">
      <c r="AF582" s="53"/>
      <c r="AG582" s="105"/>
      <c r="AH582" s="53"/>
    </row>
    <row r="583" spans="32:34" ht="15">
      <c r="AF583" s="53"/>
      <c r="AG583" s="105"/>
      <c r="AH583" s="53"/>
    </row>
    <row r="584" spans="32:34" ht="15">
      <c r="AF584" s="53"/>
      <c r="AG584" s="105"/>
      <c r="AH584" s="53"/>
    </row>
    <row r="585" spans="32:34" ht="15">
      <c r="AF585" s="53"/>
      <c r="AG585" s="105"/>
      <c r="AH585" s="53"/>
    </row>
    <row r="586" spans="32:34" ht="15">
      <c r="AF586" s="53"/>
      <c r="AG586" s="105"/>
      <c r="AH586" s="53"/>
    </row>
    <row r="587" spans="32:34" ht="15">
      <c r="AF587" s="53"/>
      <c r="AG587" s="105"/>
      <c r="AH587" s="53"/>
    </row>
    <row r="588" spans="32:34" ht="15">
      <c r="AF588" s="53"/>
      <c r="AG588" s="105"/>
      <c r="AH588" s="53"/>
    </row>
    <row r="589" spans="32:34" ht="15">
      <c r="AF589" s="53"/>
      <c r="AG589" s="105"/>
      <c r="AH589" s="53"/>
    </row>
    <row r="590" spans="32:34" ht="15">
      <c r="AF590" s="53"/>
      <c r="AG590" s="105"/>
      <c r="AH590" s="53"/>
    </row>
    <row r="591" spans="32:34" ht="15">
      <c r="AF591" s="53"/>
      <c r="AG591" s="105"/>
      <c r="AH591" s="53"/>
    </row>
    <row r="592" spans="32:34" ht="15">
      <c r="AF592" s="53"/>
      <c r="AG592" s="105"/>
      <c r="AH592" s="53"/>
    </row>
    <row r="593" spans="32:34" ht="15">
      <c r="AF593" s="53"/>
      <c r="AG593" s="105"/>
      <c r="AH593" s="53"/>
    </row>
    <row r="594" spans="32:34" ht="15">
      <c r="AF594" s="53"/>
      <c r="AG594" s="105"/>
      <c r="AH594" s="53"/>
    </row>
    <row r="595" spans="32:34" ht="15">
      <c r="AF595" s="53"/>
      <c r="AG595" s="105"/>
      <c r="AH595" s="53"/>
    </row>
    <row r="596" spans="32:34" ht="15">
      <c r="AF596" s="53"/>
      <c r="AG596" s="105"/>
      <c r="AH596" s="53"/>
    </row>
    <row r="597" spans="32:34" ht="15">
      <c r="AF597" s="53"/>
      <c r="AG597" s="105"/>
      <c r="AH597" s="53"/>
    </row>
    <row r="598" spans="32:34" ht="15">
      <c r="AF598" s="53"/>
      <c r="AG598" s="105"/>
      <c r="AH598" s="53"/>
    </row>
    <row r="599" spans="32:34" ht="15">
      <c r="AF599" s="53"/>
      <c r="AG599" s="105"/>
      <c r="AH599" s="53"/>
    </row>
    <row r="600" spans="32:34" ht="15">
      <c r="AF600" s="53"/>
      <c r="AG600" s="105"/>
      <c r="AH600" s="53"/>
    </row>
    <row r="601" spans="32:34" ht="15">
      <c r="AF601" s="53"/>
      <c r="AG601" s="105"/>
      <c r="AH601" s="53"/>
    </row>
    <row r="602" spans="32:34" ht="15">
      <c r="AF602" s="53"/>
      <c r="AG602" s="105"/>
      <c r="AH602" s="53"/>
    </row>
    <row r="603" spans="32:34" ht="15">
      <c r="AF603" s="53"/>
      <c r="AG603" s="105"/>
      <c r="AH603" s="53"/>
    </row>
    <row r="604" spans="32:34" ht="15">
      <c r="AF604" s="53"/>
      <c r="AG604" s="105"/>
      <c r="AH604" s="53"/>
    </row>
    <row r="605" spans="32:34" ht="15">
      <c r="AF605" s="53"/>
      <c r="AG605" s="105"/>
      <c r="AH605" s="53"/>
    </row>
    <row r="606" spans="32:34" ht="15">
      <c r="AF606" s="53"/>
      <c r="AG606" s="105"/>
      <c r="AH606" s="53"/>
    </row>
    <row r="607" spans="32:34" ht="15">
      <c r="AF607" s="53"/>
      <c r="AG607" s="105"/>
      <c r="AH607" s="53"/>
    </row>
    <row r="608" spans="32:34" ht="15">
      <c r="AF608" s="53"/>
      <c r="AG608" s="105"/>
      <c r="AH608" s="53"/>
    </row>
    <row r="609" spans="32:34" ht="15">
      <c r="AF609" s="53"/>
      <c r="AG609" s="105"/>
      <c r="AH609" s="53"/>
    </row>
    <row r="610" spans="32:34" ht="15">
      <c r="AF610" s="53"/>
      <c r="AG610" s="105"/>
      <c r="AH610" s="53"/>
    </row>
    <row r="611" spans="32:34" ht="15">
      <c r="AF611" s="53"/>
      <c r="AG611" s="105"/>
      <c r="AH611" s="53"/>
    </row>
    <row r="612" spans="32:34" ht="15">
      <c r="AF612" s="53"/>
      <c r="AG612" s="105"/>
      <c r="AH612" s="53"/>
    </row>
    <row r="613" spans="32:34" ht="15">
      <c r="AF613" s="53"/>
      <c r="AG613" s="105"/>
      <c r="AH613" s="53"/>
    </row>
    <row r="614" spans="32:34" ht="15">
      <c r="AF614" s="53"/>
      <c r="AG614" s="105"/>
      <c r="AH614" s="53"/>
    </row>
    <row r="615" spans="32:34" ht="15">
      <c r="AF615" s="53"/>
      <c r="AG615" s="105"/>
      <c r="AH615" s="53"/>
    </row>
    <row r="616" spans="32:34" ht="15">
      <c r="AF616" s="53"/>
      <c r="AG616" s="105"/>
      <c r="AH616" s="53"/>
    </row>
    <row r="617" spans="32:34" ht="15">
      <c r="AF617" s="53"/>
      <c r="AG617" s="105"/>
      <c r="AH617" s="53"/>
    </row>
    <row r="618" spans="32:34" ht="15">
      <c r="AF618" s="53"/>
      <c r="AG618" s="105"/>
      <c r="AH618" s="53"/>
    </row>
    <row r="619" spans="32:34" ht="15">
      <c r="AF619" s="53"/>
      <c r="AG619" s="105"/>
      <c r="AH619" s="53"/>
    </row>
    <row r="620" spans="32:34" ht="15">
      <c r="AF620" s="53"/>
      <c r="AG620" s="105"/>
      <c r="AH620" s="53"/>
    </row>
    <row r="621" spans="32:34" ht="15">
      <c r="AF621" s="53"/>
      <c r="AG621" s="105"/>
      <c r="AH621" s="53"/>
    </row>
    <row r="622" spans="32:34" ht="15">
      <c r="AF622" s="53"/>
      <c r="AG622" s="105"/>
      <c r="AH622" s="53"/>
    </row>
    <row r="623" spans="32:34" ht="15">
      <c r="AF623" s="53"/>
      <c r="AG623" s="105"/>
      <c r="AH623" s="53"/>
    </row>
    <row r="624" spans="32:34" ht="15">
      <c r="AF624" s="53"/>
      <c r="AG624" s="105"/>
      <c r="AH624" s="53"/>
    </row>
    <row r="625" spans="32:34" ht="15">
      <c r="AF625" s="53"/>
      <c r="AG625" s="105"/>
      <c r="AH625" s="53"/>
    </row>
    <row r="626" spans="32:34" ht="15">
      <c r="AF626" s="53"/>
      <c r="AG626" s="105"/>
      <c r="AH626" s="53"/>
    </row>
    <row r="627" spans="32:34" ht="15">
      <c r="AF627" s="53"/>
      <c r="AG627" s="105"/>
      <c r="AH627" s="53"/>
    </row>
    <row r="628" spans="32:34" ht="15">
      <c r="AF628" s="53"/>
      <c r="AG628" s="105"/>
      <c r="AH628" s="53"/>
    </row>
    <row r="629" spans="32:34" ht="15">
      <c r="AF629" s="53"/>
      <c r="AG629" s="105"/>
      <c r="AH629" s="53"/>
    </row>
    <row r="630" spans="32:34" ht="15">
      <c r="AF630" s="53"/>
      <c r="AG630" s="105"/>
      <c r="AH630" s="53"/>
    </row>
    <row r="631" spans="32:34" ht="15">
      <c r="AF631" s="53"/>
      <c r="AG631" s="105"/>
      <c r="AH631" s="53"/>
    </row>
    <row r="632" spans="32:34" ht="15">
      <c r="AF632" s="53"/>
      <c r="AG632" s="105"/>
      <c r="AH632" s="53"/>
    </row>
    <row r="633" spans="32:34" ht="15">
      <c r="AF633" s="53"/>
      <c r="AG633" s="105"/>
      <c r="AH633" s="53"/>
    </row>
    <row r="634" spans="32:34" ht="15">
      <c r="AF634" s="53"/>
      <c r="AG634" s="105"/>
      <c r="AH634" s="53"/>
    </row>
    <row r="635" spans="32:34" ht="15">
      <c r="AF635" s="53"/>
      <c r="AG635" s="105"/>
      <c r="AH635" s="53"/>
    </row>
    <row r="636" spans="32:34" ht="15">
      <c r="AF636" s="53"/>
      <c r="AG636" s="105"/>
      <c r="AH636" s="53"/>
    </row>
    <row r="637" spans="32:34" ht="15">
      <c r="AF637" s="53"/>
      <c r="AG637" s="105"/>
      <c r="AH637" s="53"/>
    </row>
    <row r="638" spans="32:34" ht="15">
      <c r="AF638" s="53"/>
      <c r="AG638" s="105"/>
      <c r="AH638" s="53"/>
    </row>
    <row r="639" spans="32:34" ht="15">
      <c r="AF639" s="53"/>
      <c r="AG639" s="105"/>
      <c r="AH639" s="53"/>
    </row>
    <row r="640" spans="32:34" ht="15">
      <c r="AF640" s="53"/>
      <c r="AG640" s="105"/>
      <c r="AH640" s="53"/>
    </row>
    <row r="641" spans="32:34" ht="15">
      <c r="AF641" s="53"/>
      <c r="AG641" s="105"/>
      <c r="AH641" s="53"/>
    </row>
    <row r="642" spans="32:34" ht="15">
      <c r="AF642" s="53"/>
      <c r="AG642" s="105"/>
      <c r="AH642" s="53"/>
    </row>
    <row r="643" spans="32:34" ht="15">
      <c r="AF643" s="53"/>
      <c r="AG643" s="105"/>
      <c r="AH643" s="53"/>
    </row>
    <row r="644" spans="32:34" ht="15">
      <c r="AF644" s="53"/>
      <c r="AG644" s="105"/>
      <c r="AH644" s="53"/>
    </row>
    <row r="645" spans="32:34" ht="15">
      <c r="AF645" s="53"/>
      <c r="AG645" s="105"/>
      <c r="AH645" s="53"/>
    </row>
    <row r="646" spans="32:34" ht="15">
      <c r="AF646" s="53"/>
      <c r="AG646" s="105"/>
      <c r="AH646" s="53"/>
    </row>
    <row r="647" spans="32:34" ht="15">
      <c r="AF647" s="53"/>
      <c r="AG647" s="105"/>
      <c r="AH647" s="53"/>
    </row>
    <row r="648" spans="32:34" ht="15">
      <c r="AF648" s="53"/>
      <c r="AG648" s="105"/>
      <c r="AH648" s="53"/>
    </row>
    <row r="649" spans="32:34" ht="15">
      <c r="AF649" s="53"/>
      <c r="AG649" s="105"/>
      <c r="AH649" s="53"/>
    </row>
    <row r="650" spans="32:34" ht="15">
      <c r="AF650" s="53"/>
      <c r="AG650" s="105"/>
      <c r="AH650" s="53"/>
    </row>
    <row r="651" spans="32:34" ht="15">
      <c r="AF651" s="53"/>
      <c r="AG651" s="105"/>
      <c r="AH651" s="53"/>
    </row>
    <row r="652" spans="32:34" ht="15">
      <c r="AF652" s="53"/>
      <c r="AG652" s="105"/>
      <c r="AH652" s="53"/>
    </row>
    <row r="653" spans="32:34" ht="15">
      <c r="AF653" s="53"/>
      <c r="AG653" s="105"/>
      <c r="AH653" s="53"/>
    </row>
    <row r="654" spans="32:34" ht="15">
      <c r="AF654" s="53"/>
      <c r="AG654" s="105"/>
      <c r="AH654" s="53"/>
    </row>
    <row r="655" spans="32:34" ht="15">
      <c r="AF655" s="53"/>
      <c r="AG655" s="105"/>
      <c r="AH655" s="53"/>
    </row>
    <row r="656" spans="32:34" ht="15">
      <c r="AF656" s="53"/>
      <c r="AG656" s="105"/>
      <c r="AH656" s="53"/>
    </row>
    <row r="657" spans="32:34" ht="15">
      <c r="AF657" s="53"/>
      <c r="AG657" s="105"/>
      <c r="AH657" s="53"/>
    </row>
    <row r="658" spans="32:34" ht="15">
      <c r="AF658" s="53"/>
      <c r="AG658" s="105"/>
      <c r="AH658" s="53"/>
    </row>
    <row r="659" spans="32:34" ht="15">
      <c r="AF659" s="53"/>
      <c r="AG659" s="105"/>
      <c r="AH659" s="53"/>
    </row>
    <row r="660" spans="32:34" ht="15">
      <c r="AF660" s="53"/>
      <c r="AG660" s="105"/>
      <c r="AH660" s="53"/>
    </row>
    <row r="661" spans="32:34" ht="15">
      <c r="AF661" s="53"/>
      <c r="AG661" s="105"/>
      <c r="AH661" s="53"/>
    </row>
    <row r="662" spans="32:34" ht="15">
      <c r="AF662" s="53"/>
      <c r="AG662" s="105"/>
      <c r="AH662" s="53"/>
    </row>
    <row r="663" spans="32:34" ht="15">
      <c r="AF663" s="53"/>
      <c r="AG663" s="105"/>
      <c r="AH663" s="53"/>
    </row>
    <row r="664" spans="32:34" ht="15">
      <c r="AF664" s="53"/>
      <c r="AG664" s="105"/>
      <c r="AH664" s="53"/>
    </row>
    <row r="665" spans="32:34" ht="15">
      <c r="AF665" s="53"/>
      <c r="AG665" s="105"/>
      <c r="AH665" s="53"/>
    </row>
    <row r="666" spans="32:34" ht="15">
      <c r="AF666" s="53"/>
      <c r="AG666" s="105"/>
      <c r="AH666" s="53"/>
    </row>
    <row r="667" spans="32:34" ht="15">
      <c r="AF667" s="53"/>
      <c r="AG667" s="105"/>
      <c r="AH667" s="53"/>
    </row>
    <row r="668" spans="32:34" ht="15">
      <c r="AF668" s="53"/>
      <c r="AG668" s="105"/>
      <c r="AH668" s="53"/>
    </row>
    <row r="669" spans="32:34" ht="15">
      <c r="AF669" s="53"/>
      <c r="AG669" s="105"/>
      <c r="AH669" s="53"/>
    </row>
    <row r="670" spans="32:34" ht="15">
      <c r="AF670" s="53"/>
      <c r="AG670" s="105"/>
      <c r="AH670" s="53"/>
    </row>
    <row r="671" spans="32:34" ht="15">
      <c r="AF671" s="53"/>
      <c r="AG671" s="105"/>
      <c r="AH671" s="53"/>
    </row>
    <row r="672" spans="32:34" ht="15">
      <c r="AF672" s="53"/>
      <c r="AG672" s="105"/>
      <c r="AH672" s="53"/>
    </row>
    <row r="673" spans="32:34" ht="15">
      <c r="AF673" s="53"/>
      <c r="AG673" s="105"/>
      <c r="AH673" s="53"/>
    </row>
    <row r="674" spans="32:34" ht="15">
      <c r="AF674" s="53"/>
      <c r="AG674" s="105"/>
      <c r="AH674" s="53"/>
    </row>
    <row r="675" spans="32:34" ht="15">
      <c r="AF675" s="53"/>
      <c r="AG675" s="105"/>
      <c r="AH675" s="53"/>
    </row>
    <row r="676" spans="32:34" ht="15">
      <c r="AF676" s="53"/>
      <c r="AG676" s="105"/>
      <c r="AH676" s="53"/>
    </row>
    <row r="677" spans="32:34" ht="15">
      <c r="AF677" s="53"/>
      <c r="AG677" s="105"/>
      <c r="AH677" s="53"/>
    </row>
    <row r="678" spans="32:34" ht="15">
      <c r="AF678" s="53"/>
      <c r="AG678" s="105"/>
      <c r="AH678" s="53"/>
    </row>
    <row r="679" spans="32:34" ht="15">
      <c r="AF679" s="53"/>
      <c r="AG679" s="105"/>
      <c r="AH679" s="53"/>
    </row>
    <row r="680" spans="32:34" ht="15">
      <c r="AF680" s="53"/>
      <c r="AG680" s="105"/>
      <c r="AH680" s="53"/>
    </row>
    <row r="681" spans="32:34" ht="15">
      <c r="AF681" s="53"/>
      <c r="AG681" s="105"/>
      <c r="AH681" s="53"/>
    </row>
    <row r="682" spans="32:34" ht="15">
      <c r="AF682" s="53"/>
      <c r="AG682" s="105"/>
      <c r="AH682" s="53"/>
    </row>
    <row r="683" spans="32:34" ht="15">
      <c r="AF683" s="53"/>
      <c r="AG683" s="105"/>
      <c r="AH683" s="53"/>
    </row>
    <row r="684" spans="32:34" ht="15">
      <c r="AF684" s="53"/>
      <c r="AG684" s="105"/>
      <c r="AH684" s="53"/>
    </row>
    <row r="685" spans="32:34" ht="15">
      <c r="AF685" s="53"/>
      <c r="AG685" s="105"/>
      <c r="AH685" s="53"/>
    </row>
    <row r="686" spans="32:34" ht="15">
      <c r="AF686" s="53"/>
      <c r="AG686" s="105"/>
      <c r="AH686" s="53"/>
    </row>
    <row r="687" spans="32:34" ht="15">
      <c r="AF687" s="53"/>
      <c r="AG687" s="105"/>
      <c r="AH687" s="53"/>
    </row>
    <row r="688" spans="32:34" ht="15">
      <c r="AF688" s="53"/>
      <c r="AG688" s="105"/>
      <c r="AH688" s="53"/>
    </row>
    <row r="689" spans="32:34" ht="15">
      <c r="AF689" s="53"/>
      <c r="AG689" s="105"/>
      <c r="AH689" s="53"/>
    </row>
    <row r="690" spans="32:34" ht="15">
      <c r="AF690" s="53"/>
      <c r="AG690" s="105"/>
      <c r="AH690" s="53"/>
    </row>
    <row r="691" spans="32:34" ht="15">
      <c r="AF691" s="53"/>
      <c r="AG691" s="105"/>
      <c r="AH691" s="53"/>
    </row>
    <row r="692" spans="32:34" ht="15">
      <c r="AF692" s="53"/>
      <c r="AG692" s="105"/>
      <c r="AH692" s="53"/>
    </row>
    <row r="693" spans="32:34" ht="15">
      <c r="AF693" s="53"/>
      <c r="AG693" s="105"/>
      <c r="AH693" s="53"/>
    </row>
    <row r="694" spans="32:34" ht="15">
      <c r="AF694" s="53"/>
      <c r="AG694" s="105"/>
      <c r="AH694" s="53"/>
    </row>
    <row r="695" spans="32:34" ht="15">
      <c r="AF695" s="53"/>
      <c r="AG695" s="105"/>
      <c r="AH695" s="53"/>
    </row>
    <row r="696" spans="32:34" ht="15">
      <c r="AF696" s="53"/>
      <c r="AG696" s="105"/>
      <c r="AH696" s="53"/>
    </row>
    <row r="697" spans="32:34" ht="15">
      <c r="AF697" s="53"/>
      <c r="AG697" s="105"/>
      <c r="AH697" s="53"/>
    </row>
    <row r="698" spans="32:34" ht="15">
      <c r="AF698" s="53"/>
      <c r="AG698" s="105"/>
      <c r="AH698" s="53"/>
    </row>
    <row r="699" spans="32:34" ht="15">
      <c r="AF699" s="53"/>
      <c r="AG699" s="105"/>
      <c r="AH699" s="53"/>
    </row>
    <row r="700" spans="32:34" ht="15">
      <c r="AF700" s="53"/>
      <c r="AG700" s="105"/>
      <c r="AH700" s="53"/>
    </row>
    <row r="701" spans="32:34" ht="15">
      <c r="AF701" s="53"/>
      <c r="AG701" s="105"/>
      <c r="AH701" s="53"/>
    </row>
    <row r="702" spans="32:34" ht="15">
      <c r="AF702" s="53"/>
      <c r="AG702" s="105"/>
      <c r="AH702" s="53"/>
    </row>
    <row r="703" spans="32:34" ht="15">
      <c r="AF703" s="53"/>
      <c r="AG703" s="105"/>
      <c r="AH703" s="53"/>
    </row>
    <row r="704" spans="32:34" ht="15">
      <c r="AF704" s="53"/>
      <c r="AG704" s="105"/>
      <c r="AH704" s="53"/>
    </row>
    <row r="705" spans="32:34" ht="15">
      <c r="AF705" s="53"/>
      <c r="AG705" s="105"/>
      <c r="AH705" s="53"/>
    </row>
    <row r="706" spans="32:34" ht="15">
      <c r="AF706" s="53"/>
      <c r="AG706" s="105"/>
      <c r="AH706" s="53"/>
    </row>
    <row r="707" spans="32:34" ht="15">
      <c r="AF707" s="53"/>
      <c r="AG707" s="105"/>
      <c r="AH707" s="53"/>
    </row>
    <row r="708" spans="32:34" ht="15">
      <c r="AF708" s="53"/>
      <c r="AG708" s="105"/>
      <c r="AH708" s="53"/>
    </row>
    <row r="709" spans="32:34" ht="15">
      <c r="AF709" s="53"/>
      <c r="AG709" s="105"/>
      <c r="AH709" s="53"/>
    </row>
    <row r="710" spans="32:34" ht="15">
      <c r="AF710" s="53"/>
      <c r="AG710" s="105"/>
      <c r="AH710" s="53"/>
    </row>
    <row r="711" spans="32:34" ht="15">
      <c r="AF711" s="53"/>
      <c r="AG711" s="105"/>
      <c r="AH711" s="53"/>
    </row>
    <row r="712" spans="32:34" ht="15">
      <c r="AF712" s="53"/>
      <c r="AG712" s="105"/>
      <c r="AH712" s="53"/>
    </row>
    <row r="713" spans="32:34" ht="15">
      <c r="AF713" s="53"/>
      <c r="AG713" s="105"/>
      <c r="AH713" s="53"/>
    </row>
    <row r="714" spans="32:34" ht="15">
      <c r="AF714" s="53"/>
      <c r="AG714" s="105"/>
      <c r="AH714" s="53"/>
    </row>
    <row r="715" spans="32:34" ht="15">
      <c r="AF715" s="53"/>
      <c r="AG715" s="105"/>
      <c r="AH715" s="53"/>
    </row>
    <row r="716" spans="32:34" ht="15">
      <c r="AF716" s="53"/>
      <c r="AG716" s="105"/>
      <c r="AH716" s="53"/>
    </row>
    <row r="717" spans="32:34" ht="15">
      <c r="AF717" s="53"/>
      <c r="AG717" s="105"/>
      <c r="AH717" s="53"/>
    </row>
    <row r="718" spans="32:34" ht="15">
      <c r="AF718" s="53"/>
      <c r="AG718" s="105"/>
      <c r="AH718" s="53"/>
    </row>
    <row r="719" spans="32:34" ht="15">
      <c r="AF719" s="53"/>
      <c r="AG719" s="105"/>
      <c r="AH719" s="53"/>
    </row>
    <row r="720" spans="32:34" ht="15">
      <c r="AF720" s="53"/>
      <c r="AG720" s="105"/>
      <c r="AH720" s="53"/>
    </row>
    <row r="721" spans="32:34" ht="15">
      <c r="AF721" s="53"/>
      <c r="AG721" s="105"/>
      <c r="AH721" s="53"/>
    </row>
    <row r="722" spans="32:34" ht="15">
      <c r="AF722" s="53"/>
      <c r="AG722" s="105"/>
      <c r="AH722" s="53"/>
    </row>
    <row r="723" spans="32:34" ht="15">
      <c r="AF723" s="53"/>
      <c r="AG723" s="105"/>
      <c r="AH723" s="53"/>
    </row>
    <row r="724" spans="32:34" ht="15">
      <c r="AF724" s="53"/>
      <c r="AG724" s="105"/>
      <c r="AH724" s="53"/>
    </row>
    <row r="725" spans="32:34" ht="15">
      <c r="AF725" s="53"/>
      <c r="AG725" s="105"/>
      <c r="AH725" s="53"/>
    </row>
    <row r="726" spans="32:34" ht="15">
      <c r="AF726" s="53"/>
      <c r="AG726" s="105"/>
      <c r="AH726" s="53"/>
    </row>
    <row r="727" spans="32:34" ht="15">
      <c r="AF727" s="53"/>
      <c r="AG727" s="105"/>
      <c r="AH727" s="53"/>
    </row>
    <row r="728" spans="32:34" ht="15">
      <c r="AF728" s="53"/>
      <c r="AG728" s="105"/>
      <c r="AH728" s="53"/>
    </row>
    <row r="729" spans="32:34" ht="15">
      <c r="AF729" s="53"/>
      <c r="AG729" s="105"/>
      <c r="AH729" s="53"/>
    </row>
    <row r="730" spans="32:34" ht="15">
      <c r="AF730" s="53"/>
      <c r="AG730" s="105"/>
      <c r="AH730" s="53"/>
    </row>
    <row r="731" spans="32:34" ht="15">
      <c r="AF731" s="53"/>
      <c r="AG731" s="105"/>
      <c r="AH731" s="53"/>
    </row>
    <row r="732" spans="32:34" ht="15">
      <c r="AF732" s="53"/>
      <c r="AG732" s="105"/>
      <c r="AH732" s="53"/>
    </row>
    <row r="733" spans="32:34" ht="15">
      <c r="AF733" s="53"/>
      <c r="AG733" s="105"/>
      <c r="AH733" s="53"/>
    </row>
    <row r="734" spans="32:34" ht="15">
      <c r="AF734" s="53"/>
      <c r="AG734" s="105"/>
      <c r="AH734" s="53"/>
    </row>
    <row r="735" spans="32:34" ht="15">
      <c r="AF735" s="53"/>
      <c r="AG735" s="105"/>
      <c r="AH735" s="53"/>
    </row>
    <row r="736" spans="32:34" ht="15">
      <c r="AF736" s="53"/>
      <c r="AG736" s="105"/>
      <c r="AH736" s="53"/>
    </row>
    <row r="737" spans="32:34" ht="15">
      <c r="AF737" s="53"/>
      <c r="AG737" s="105"/>
      <c r="AH737" s="53"/>
    </row>
    <row r="738" spans="32:34" ht="15">
      <c r="AF738" s="53"/>
      <c r="AG738" s="105"/>
      <c r="AH738" s="53"/>
    </row>
    <row r="739" spans="32:34" ht="15">
      <c r="AF739" s="53"/>
      <c r="AG739" s="105"/>
      <c r="AH739" s="53"/>
    </row>
    <row r="740" spans="32:34" ht="15">
      <c r="AF740" s="53"/>
      <c r="AG740" s="105"/>
      <c r="AH740" s="53"/>
    </row>
    <row r="741" spans="32:34" ht="15">
      <c r="AF741" s="53"/>
      <c r="AG741" s="105"/>
      <c r="AH741" s="53"/>
    </row>
    <row r="742" spans="32:34" ht="15">
      <c r="AF742" s="53"/>
      <c r="AG742" s="105"/>
      <c r="AH742" s="53"/>
    </row>
    <row r="743" spans="32:34" ht="15">
      <c r="AF743" s="53"/>
      <c r="AG743" s="105"/>
      <c r="AH743" s="53"/>
    </row>
    <row r="744" spans="32:34" ht="15">
      <c r="AF744" s="53"/>
      <c r="AG744" s="105"/>
      <c r="AH744" s="53"/>
    </row>
    <row r="745" spans="32:34" ht="15">
      <c r="AF745" s="53"/>
      <c r="AG745" s="105"/>
      <c r="AH745" s="53"/>
    </row>
    <row r="746" spans="32:34" ht="15">
      <c r="AF746" s="53"/>
      <c r="AG746" s="105"/>
      <c r="AH746" s="53"/>
    </row>
    <row r="747" spans="32:34" ht="15">
      <c r="AF747" s="53"/>
      <c r="AG747" s="105"/>
      <c r="AH747" s="53"/>
    </row>
    <row r="748" spans="32:34" ht="15">
      <c r="AF748" s="53"/>
      <c r="AG748" s="105"/>
      <c r="AH748" s="53"/>
    </row>
    <row r="749" spans="32:34" ht="15">
      <c r="AF749" s="53"/>
      <c r="AG749" s="105"/>
      <c r="AH749" s="53"/>
    </row>
    <row r="750" spans="32:34" ht="15">
      <c r="AF750" s="53"/>
      <c r="AG750" s="105"/>
      <c r="AH750" s="53"/>
    </row>
    <row r="751" spans="32:34" ht="15">
      <c r="AF751" s="53"/>
      <c r="AG751" s="105"/>
      <c r="AH751" s="53"/>
    </row>
    <row r="752" spans="32:34" ht="15">
      <c r="AF752" s="53"/>
      <c r="AG752" s="105"/>
      <c r="AH752" s="53"/>
    </row>
    <row r="753" spans="32:34" ht="15">
      <c r="AF753" s="53"/>
      <c r="AG753" s="105"/>
      <c r="AH753" s="53"/>
    </row>
    <row r="754" spans="32:34" ht="15">
      <c r="AF754" s="53"/>
      <c r="AG754" s="105"/>
      <c r="AH754" s="53"/>
    </row>
    <row r="755" spans="32:34" ht="15">
      <c r="AF755" s="53"/>
      <c r="AG755" s="105"/>
      <c r="AH755" s="53"/>
    </row>
    <row r="756" spans="32:34" ht="15">
      <c r="AF756" s="53"/>
      <c r="AG756" s="105"/>
      <c r="AH756" s="53"/>
    </row>
    <row r="757" spans="32:34" ht="15">
      <c r="AF757" s="53"/>
      <c r="AG757" s="105"/>
      <c r="AH757" s="53"/>
    </row>
    <row r="758" spans="32:34" ht="15">
      <c r="AF758" s="53"/>
      <c r="AG758" s="105"/>
      <c r="AH758" s="53"/>
    </row>
    <row r="759" spans="32:34" ht="15">
      <c r="AF759" s="53"/>
      <c r="AG759" s="105"/>
      <c r="AH759" s="53"/>
    </row>
    <row r="760" spans="32:34" ht="15">
      <c r="AF760" s="53"/>
      <c r="AG760" s="105"/>
      <c r="AH760" s="53"/>
    </row>
    <row r="761" spans="32:34" ht="15">
      <c r="AF761" s="53"/>
      <c r="AG761" s="105"/>
      <c r="AH761" s="53"/>
    </row>
    <row r="762" spans="32:34" ht="15">
      <c r="AF762" s="53"/>
      <c r="AG762" s="105"/>
      <c r="AH762" s="53"/>
    </row>
    <row r="763" spans="32:34" ht="15">
      <c r="AF763" s="53"/>
      <c r="AG763" s="105"/>
      <c r="AH763" s="53"/>
    </row>
    <row r="764" spans="32:34" ht="15">
      <c r="AF764" s="53"/>
      <c r="AG764" s="105"/>
      <c r="AH764" s="53"/>
    </row>
    <row r="765" spans="32:34" ht="15">
      <c r="AF765" s="53"/>
      <c r="AG765" s="105"/>
      <c r="AH765" s="53"/>
    </row>
    <row r="766" spans="32:34" ht="15">
      <c r="AF766" s="53"/>
      <c r="AG766" s="105"/>
      <c r="AH766" s="53"/>
    </row>
    <row r="767" spans="32:34" ht="15">
      <c r="AF767" s="53"/>
      <c r="AG767" s="105"/>
      <c r="AH767" s="53"/>
    </row>
    <row r="768" spans="32:34" ht="15">
      <c r="AF768" s="53"/>
      <c r="AG768" s="105"/>
      <c r="AH768" s="53"/>
    </row>
    <row r="769" spans="32:34" ht="15">
      <c r="AF769" s="53"/>
      <c r="AG769" s="105"/>
      <c r="AH769" s="53"/>
    </row>
    <row r="770" spans="32:34" ht="15">
      <c r="AF770" s="53"/>
      <c r="AG770" s="105"/>
      <c r="AH770" s="53"/>
    </row>
    <row r="771" spans="32:34" ht="15">
      <c r="AF771" s="53"/>
      <c r="AG771" s="105"/>
      <c r="AH771" s="53"/>
    </row>
    <row r="772" spans="32:34" ht="15">
      <c r="AF772" s="53"/>
      <c r="AG772" s="105"/>
      <c r="AH772" s="53"/>
    </row>
    <row r="773" spans="32:34" ht="15">
      <c r="AF773" s="53"/>
      <c r="AG773" s="105"/>
      <c r="AH773" s="53"/>
    </row>
    <row r="774" spans="32:34" ht="15">
      <c r="AF774" s="53"/>
      <c r="AG774" s="105"/>
      <c r="AH774" s="53"/>
    </row>
    <row r="775" spans="32:34" ht="15">
      <c r="AF775" s="53"/>
      <c r="AG775" s="105"/>
      <c r="AH775" s="53"/>
    </row>
    <row r="776" spans="32:34" ht="15">
      <c r="AF776" s="53"/>
      <c r="AG776" s="105"/>
      <c r="AH776" s="53"/>
    </row>
    <row r="777" spans="32:34" ht="15">
      <c r="AF777" s="53"/>
      <c r="AG777" s="105"/>
      <c r="AH777" s="53"/>
    </row>
    <row r="778" spans="32:34" ht="15">
      <c r="AF778" s="53"/>
      <c r="AG778" s="105"/>
      <c r="AH778" s="53"/>
    </row>
    <row r="779" spans="32:34" ht="15">
      <c r="AF779" s="53"/>
      <c r="AG779" s="105"/>
      <c r="AH779" s="53"/>
    </row>
    <row r="780" spans="32:34" ht="15">
      <c r="AF780" s="53"/>
      <c r="AG780" s="105"/>
      <c r="AH780" s="53"/>
    </row>
    <row r="781" spans="32:34" ht="15">
      <c r="AF781" s="53"/>
      <c r="AG781" s="105"/>
      <c r="AH781" s="53"/>
    </row>
    <row r="782" spans="32:34" ht="15">
      <c r="AF782" s="53"/>
      <c r="AG782" s="105"/>
      <c r="AH782" s="53"/>
    </row>
    <row r="783" spans="32:34" ht="15">
      <c r="AF783" s="53"/>
      <c r="AG783" s="105"/>
      <c r="AH783" s="53"/>
    </row>
    <row r="784" spans="32:34" ht="15">
      <c r="AF784" s="53"/>
      <c r="AG784" s="105"/>
      <c r="AH784" s="53"/>
    </row>
    <row r="785" spans="32:34" ht="15">
      <c r="AF785" s="53"/>
      <c r="AG785" s="105"/>
      <c r="AH785" s="53"/>
    </row>
    <row r="786" spans="32:34" ht="15">
      <c r="AF786" s="53"/>
      <c r="AG786" s="105"/>
      <c r="AH786" s="53"/>
    </row>
    <row r="787" spans="32:34" ht="15">
      <c r="AF787" s="53"/>
      <c r="AG787" s="105"/>
      <c r="AH787" s="53"/>
    </row>
    <row r="788" spans="32:34" ht="15">
      <c r="AF788" s="53"/>
      <c r="AG788" s="105"/>
      <c r="AH788" s="53"/>
    </row>
    <row r="789" spans="32:34" ht="15">
      <c r="AF789" s="53"/>
      <c r="AG789" s="105"/>
      <c r="AH789" s="53"/>
    </row>
    <row r="790" spans="32:34" ht="15">
      <c r="AF790" s="53"/>
      <c r="AG790" s="105"/>
      <c r="AH790" s="53"/>
    </row>
    <row r="791" spans="32:34" ht="15">
      <c r="AF791" s="53"/>
      <c r="AG791" s="105"/>
      <c r="AH791" s="53"/>
    </row>
    <row r="792" spans="32:34" ht="15">
      <c r="AF792" s="53"/>
      <c r="AG792" s="105"/>
      <c r="AH792" s="53"/>
    </row>
    <row r="793" spans="32:34" ht="15">
      <c r="AF793" s="53"/>
      <c r="AG793" s="105"/>
      <c r="AH793" s="53"/>
    </row>
    <row r="794" spans="32:34" ht="15">
      <c r="AF794" s="53"/>
      <c r="AG794" s="105"/>
      <c r="AH794" s="53"/>
    </row>
    <row r="795" spans="32:34" ht="15">
      <c r="AF795" s="53"/>
      <c r="AG795" s="105"/>
      <c r="AH795" s="53"/>
    </row>
    <row r="796" spans="32:34" ht="15">
      <c r="AF796" s="53"/>
      <c r="AG796" s="105"/>
      <c r="AH796" s="53"/>
    </row>
    <row r="797" spans="32:34" ht="15">
      <c r="AF797" s="53"/>
      <c r="AG797" s="105"/>
      <c r="AH797" s="53"/>
    </row>
    <row r="798" spans="32:34" ht="15">
      <c r="AF798" s="53"/>
      <c r="AG798" s="105"/>
      <c r="AH798" s="53"/>
    </row>
    <row r="799" spans="32:34" ht="15">
      <c r="AF799" s="53"/>
      <c r="AG799" s="105"/>
      <c r="AH799" s="53"/>
    </row>
    <row r="800" spans="32:34" ht="15">
      <c r="AF800" s="53"/>
      <c r="AG800" s="105"/>
      <c r="AH800" s="53"/>
    </row>
    <row r="801" spans="32:34" ht="15">
      <c r="AF801" s="53"/>
      <c r="AG801" s="105"/>
      <c r="AH801" s="53"/>
    </row>
    <row r="802" spans="32:34" ht="15">
      <c r="AF802" s="53"/>
      <c r="AG802" s="105"/>
      <c r="AH802" s="53"/>
    </row>
    <row r="803" spans="32:34" ht="15">
      <c r="AF803" s="53"/>
      <c r="AG803" s="105"/>
      <c r="AH803" s="53"/>
    </row>
    <row r="804" spans="32:34" ht="15">
      <c r="AF804" s="53"/>
      <c r="AG804" s="105"/>
      <c r="AH804" s="53"/>
    </row>
    <row r="805" spans="32:34" ht="15">
      <c r="AF805" s="53"/>
      <c r="AG805" s="105"/>
      <c r="AH805" s="53"/>
    </row>
    <row r="806" spans="32:34" ht="15">
      <c r="AF806" s="53"/>
      <c r="AG806" s="105"/>
      <c r="AH806" s="53"/>
    </row>
    <row r="807" spans="32:34" ht="15">
      <c r="AF807" s="53"/>
      <c r="AG807" s="105"/>
      <c r="AH807" s="53"/>
    </row>
    <row r="808" spans="32:34" ht="15">
      <c r="AF808" s="53"/>
      <c r="AG808" s="105"/>
      <c r="AH808" s="53"/>
    </row>
    <row r="809" spans="32:34" ht="15">
      <c r="AF809" s="53"/>
      <c r="AG809" s="105"/>
      <c r="AH809" s="53"/>
    </row>
    <row r="810" spans="32:34" ht="15">
      <c r="AF810" s="53"/>
      <c r="AG810" s="105"/>
      <c r="AH810" s="53"/>
    </row>
    <row r="811" spans="32:34" ht="15">
      <c r="AF811" s="53"/>
      <c r="AG811" s="105"/>
      <c r="AH811" s="53"/>
    </row>
    <row r="812" spans="32:34" ht="15">
      <c r="AF812" s="53"/>
      <c r="AG812" s="105"/>
      <c r="AH812" s="53"/>
    </row>
    <row r="813" spans="32:34" ht="15">
      <c r="AF813" s="53"/>
      <c r="AG813" s="105"/>
      <c r="AH813" s="53"/>
    </row>
    <row r="814" spans="32:34" ht="15">
      <c r="AF814" s="53"/>
      <c r="AG814" s="105"/>
      <c r="AH814" s="53"/>
    </row>
    <row r="815" spans="32:34" ht="15">
      <c r="AF815" s="53"/>
      <c r="AG815" s="105"/>
      <c r="AH815" s="53"/>
    </row>
    <row r="816" spans="32:34" ht="15">
      <c r="AF816" s="53"/>
      <c r="AG816" s="105"/>
      <c r="AH816" s="53"/>
    </row>
    <row r="817" spans="32:34" ht="15">
      <c r="AF817" s="53"/>
      <c r="AG817" s="105"/>
      <c r="AH817" s="53"/>
    </row>
    <row r="818" spans="32:34" ht="15">
      <c r="AF818" s="53"/>
      <c r="AG818" s="105"/>
      <c r="AH818" s="53"/>
    </row>
    <row r="819" spans="32:34" ht="15">
      <c r="AF819" s="53"/>
      <c r="AG819" s="105"/>
      <c r="AH819" s="53"/>
    </row>
    <row r="820" spans="32:34" ht="15">
      <c r="AF820" s="53"/>
      <c r="AG820" s="105"/>
      <c r="AH820" s="53"/>
    </row>
    <row r="821" spans="32:34" ht="15">
      <c r="AF821" s="53"/>
      <c r="AG821" s="105"/>
      <c r="AH821" s="53"/>
    </row>
    <row r="822" spans="32:34" ht="15">
      <c r="AF822" s="53"/>
      <c r="AG822" s="105"/>
      <c r="AH822" s="53"/>
    </row>
    <row r="823" spans="32:34" ht="15">
      <c r="AF823" s="53"/>
      <c r="AG823" s="105"/>
      <c r="AH823" s="53"/>
    </row>
    <row r="824" spans="32:34" ht="15">
      <c r="AF824" s="53"/>
      <c r="AG824" s="105"/>
      <c r="AH824" s="53"/>
    </row>
    <row r="825" spans="32:34" ht="15">
      <c r="AF825" s="53"/>
      <c r="AG825" s="105"/>
      <c r="AH825" s="53"/>
    </row>
    <row r="826" spans="32:34" ht="15">
      <c r="AF826" s="53"/>
      <c r="AG826" s="105"/>
      <c r="AH826" s="53"/>
    </row>
    <row r="827" spans="32:34" ht="15">
      <c r="AF827" s="53"/>
      <c r="AG827" s="105"/>
      <c r="AH827" s="53"/>
    </row>
    <row r="828" spans="32:34" ht="15">
      <c r="AF828" s="53"/>
      <c r="AG828" s="105"/>
      <c r="AH828" s="53"/>
    </row>
    <row r="829" spans="32:34" ht="15">
      <c r="AF829" s="53"/>
      <c r="AG829" s="105"/>
      <c r="AH829" s="53"/>
    </row>
    <row r="830" spans="32:34" ht="15">
      <c r="AF830" s="53"/>
      <c r="AG830" s="105"/>
      <c r="AH830" s="53"/>
    </row>
    <row r="831" spans="32:34" ht="15">
      <c r="AF831" s="53"/>
      <c r="AG831" s="105"/>
      <c r="AH831" s="53"/>
    </row>
    <row r="832" spans="32:34" ht="15">
      <c r="AF832" s="53"/>
      <c r="AG832" s="105"/>
      <c r="AH832" s="53"/>
    </row>
    <row r="833" spans="32:34" ht="15">
      <c r="AF833" s="53"/>
      <c r="AG833" s="105"/>
      <c r="AH833" s="53"/>
    </row>
    <row r="834" spans="32:34" ht="15">
      <c r="AF834" s="53"/>
      <c r="AG834" s="105"/>
      <c r="AH834" s="53"/>
    </row>
    <row r="835" spans="32:34" ht="15">
      <c r="AF835" s="53"/>
      <c r="AG835" s="105"/>
      <c r="AH835" s="53"/>
    </row>
    <row r="836" spans="32:34" ht="15">
      <c r="AF836" s="53"/>
      <c r="AG836" s="105"/>
      <c r="AH836" s="53"/>
    </row>
    <row r="837" spans="32:34" ht="15">
      <c r="AF837" s="53"/>
      <c r="AG837" s="105"/>
      <c r="AH837" s="53"/>
    </row>
    <row r="838" spans="32:34" ht="15">
      <c r="AF838" s="53"/>
      <c r="AG838" s="105"/>
      <c r="AH838" s="53"/>
    </row>
    <row r="839" spans="32:34" ht="15">
      <c r="AF839" s="53"/>
      <c r="AG839" s="105"/>
      <c r="AH839" s="53"/>
    </row>
    <row r="840" spans="32:34" ht="15">
      <c r="AF840" s="53"/>
      <c r="AG840" s="105"/>
      <c r="AH840" s="53"/>
    </row>
    <row r="841" spans="32:34" ht="15">
      <c r="AF841" s="53"/>
      <c r="AG841" s="105"/>
      <c r="AH841" s="53"/>
    </row>
    <row r="842" spans="32:34" ht="15">
      <c r="AF842" s="53"/>
      <c r="AG842" s="105"/>
      <c r="AH842" s="53"/>
    </row>
    <row r="843" spans="32:34" ht="15">
      <c r="AF843" s="53"/>
      <c r="AG843" s="105"/>
      <c r="AH843" s="53"/>
    </row>
    <row r="844" spans="32:34" ht="15">
      <c r="AF844" s="53"/>
      <c r="AG844" s="105"/>
      <c r="AH844" s="53"/>
    </row>
    <row r="845" spans="32:34" ht="15">
      <c r="AF845" s="53"/>
      <c r="AG845" s="105"/>
      <c r="AH845" s="53"/>
    </row>
    <row r="846" spans="32:34" ht="15">
      <c r="AF846" s="53"/>
      <c r="AG846" s="105"/>
      <c r="AH846" s="53"/>
    </row>
    <row r="847" spans="32:34" ht="15">
      <c r="AF847" s="53"/>
      <c r="AG847" s="105"/>
      <c r="AH847" s="53"/>
    </row>
    <row r="848" spans="32:34" ht="15">
      <c r="AF848" s="53"/>
      <c r="AG848" s="105"/>
      <c r="AH848" s="53"/>
    </row>
    <row r="849" spans="32:34" ht="15">
      <c r="AF849" s="53"/>
      <c r="AG849" s="105"/>
      <c r="AH849" s="53"/>
    </row>
    <row r="850" spans="32:34" ht="15">
      <c r="AF850" s="53"/>
      <c r="AG850" s="105"/>
      <c r="AH850" s="53"/>
    </row>
    <row r="851" spans="32:34" ht="15">
      <c r="AF851" s="53"/>
      <c r="AG851" s="105"/>
      <c r="AH851" s="53"/>
    </row>
    <row r="852" spans="32:34" ht="15">
      <c r="AF852" s="53"/>
      <c r="AG852" s="105"/>
      <c r="AH852" s="53"/>
    </row>
    <row r="853" spans="32:34" ht="15">
      <c r="AF853" s="53"/>
      <c r="AG853" s="105"/>
      <c r="AH853" s="53"/>
    </row>
    <row r="854" spans="32:34" ht="15">
      <c r="AF854" s="53"/>
      <c r="AG854" s="105"/>
      <c r="AH854" s="53"/>
    </row>
    <row r="855" spans="32:34" ht="15">
      <c r="AF855" s="53"/>
      <c r="AG855" s="105"/>
      <c r="AH855" s="53"/>
    </row>
    <row r="856" spans="32:34" ht="15">
      <c r="AF856" s="53"/>
      <c r="AG856" s="105"/>
      <c r="AH856" s="53"/>
    </row>
    <row r="857" spans="32:34" ht="15">
      <c r="AF857" s="53"/>
      <c r="AG857" s="105"/>
      <c r="AH857" s="53"/>
    </row>
    <row r="858" spans="32:34" ht="15">
      <c r="AF858" s="53"/>
      <c r="AG858" s="105"/>
      <c r="AH858" s="53"/>
    </row>
    <row r="859" spans="32:34" ht="15">
      <c r="AF859" s="53"/>
      <c r="AG859" s="105"/>
      <c r="AH859" s="53"/>
    </row>
    <row r="860" spans="32:34" ht="15">
      <c r="AF860" s="53"/>
      <c r="AG860" s="105"/>
      <c r="AH860" s="53"/>
    </row>
    <row r="861" spans="32:34" ht="15">
      <c r="AF861" s="53"/>
      <c r="AG861" s="105"/>
      <c r="AH861" s="53"/>
    </row>
    <row r="862" spans="32:34" ht="15">
      <c r="AF862" s="53"/>
      <c r="AG862" s="105"/>
      <c r="AH862" s="53"/>
    </row>
    <row r="863" spans="32:34" ht="15">
      <c r="AF863" s="53"/>
      <c r="AG863" s="105"/>
      <c r="AH863" s="53"/>
    </row>
    <row r="864" spans="32:34" ht="15">
      <c r="AF864" s="53"/>
      <c r="AG864" s="105"/>
      <c r="AH864" s="53"/>
    </row>
    <row r="865" spans="32:34" ht="15">
      <c r="AF865" s="53"/>
      <c r="AG865" s="105"/>
      <c r="AH865" s="53"/>
    </row>
    <row r="866" spans="32:34" ht="15">
      <c r="AF866" s="53"/>
      <c r="AG866" s="105"/>
      <c r="AH866" s="53"/>
    </row>
    <row r="867" spans="32:34" ht="15">
      <c r="AF867" s="53"/>
      <c r="AG867" s="105"/>
      <c r="AH867" s="53"/>
    </row>
    <row r="868" spans="32:34" ht="15">
      <c r="AF868" s="53"/>
      <c r="AG868" s="105"/>
      <c r="AH868" s="53"/>
    </row>
    <row r="869" spans="32:34" ht="15">
      <c r="AF869" s="53"/>
      <c r="AG869" s="105"/>
      <c r="AH869" s="53"/>
    </row>
    <row r="870" spans="32:34" ht="15">
      <c r="AF870" s="53"/>
      <c r="AG870" s="105"/>
      <c r="AH870" s="53"/>
    </row>
    <row r="871" spans="32:34" ht="15">
      <c r="AF871" s="53"/>
      <c r="AG871" s="105"/>
      <c r="AH871" s="53"/>
    </row>
    <row r="872" spans="32:34" ht="15">
      <c r="AF872" s="53"/>
      <c r="AG872" s="105"/>
      <c r="AH872" s="53"/>
    </row>
    <row r="873" spans="32:34" ht="15">
      <c r="AF873" s="53"/>
      <c r="AG873" s="105"/>
      <c r="AH873" s="53"/>
    </row>
    <row r="874" spans="32:34" ht="15">
      <c r="AF874" s="53"/>
      <c r="AG874" s="105"/>
      <c r="AH874" s="53"/>
    </row>
    <row r="875" spans="32:34" ht="15">
      <c r="AF875" s="53"/>
      <c r="AG875" s="105"/>
      <c r="AH875" s="53"/>
    </row>
    <row r="876" spans="32:34" ht="15">
      <c r="AF876" s="53"/>
      <c r="AG876" s="105"/>
      <c r="AH876" s="53"/>
    </row>
    <row r="877" spans="32:34" ht="15">
      <c r="AF877" s="53"/>
      <c r="AG877" s="105"/>
      <c r="AH877" s="53"/>
    </row>
    <row r="878" spans="32:34" ht="15">
      <c r="AF878" s="53"/>
      <c r="AG878" s="105"/>
      <c r="AH878" s="53"/>
    </row>
    <row r="879" spans="32:34" ht="15">
      <c r="AF879" s="53"/>
      <c r="AG879" s="105"/>
      <c r="AH879" s="53"/>
    </row>
    <row r="880" spans="32:34" ht="15">
      <c r="AF880" s="53"/>
      <c r="AG880" s="105"/>
      <c r="AH880" s="53"/>
    </row>
    <row r="881" spans="32:34" ht="15">
      <c r="AF881" s="53"/>
      <c r="AG881" s="105"/>
      <c r="AH881" s="53"/>
    </row>
    <row r="882" spans="32:34" ht="15">
      <c r="AF882" s="53"/>
      <c r="AG882" s="105"/>
      <c r="AH882" s="53"/>
    </row>
    <row r="883" spans="32:34" ht="15">
      <c r="AF883" s="53"/>
      <c r="AG883" s="105"/>
      <c r="AH883" s="53"/>
    </row>
    <row r="884" spans="32:34" ht="15">
      <c r="AF884" s="53"/>
      <c r="AG884" s="105"/>
      <c r="AH884" s="53"/>
    </row>
    <row r="885" spans="32:34" ht="15">
      <c r="AF885" s="53"/>
      <c r="AG885" s="105"/>
      <c r="AH885" s="53"/>
    </row>
    <row r="886" spans="32:34" ht="15">
      <c r="AF886" s="53"/>
      <c r="AG886" s="105"/>
      <c r="AH886" s="53"/>
    </row>
    <row r="887" spans="32:34" ht="15">
      <c r="AF887" s="53"/>
      <c r="AG887" s="105"/>
      <c r="AH887" s="53"/>
    </row>
    <row r="888" spans="32:34" ht="15">
      <c r="AF888" s="53"/>
      <c r="AG888" s="105"/>
      <c r="AH888" s="53"/>
    </row>
    <row r="889" spans="32:34" ht="15">
      <c r="AF889" s="53"/>
      <c r="AG889" s="105"/>
      <c r="AH889" s="53"/>
    </row>
    <row r="890" spans="32:34" ht="15">
      <c r="AF890" s="53"/>
      <c r="AG890" s="105"/>
      <c r="AH890" s="53"/>
    </row>
    <row r="891" spans="32:34" ht="15">
      <c r="AF891" s="53"/>
      <c r="AG891" s="105"/>
      <c r="AH891" s="53"/>
    </row>
    <row r="892" spans="32:34" ht="15">
      <c r="AF892" s="53"/>
      <c r="AG892" s="105"/>
      <c r="AH892" s="53"/>
    </row>
    <row r="893" spans="32:34" ht="15">
      <c r="AF893" s="53"/>
      <c r="AG893" s="105"/>
      <c r="AH893" s="53"/>
    </row>
    <row r="894" spans="32:34" ht="15">
      <c r="AF894" s="53"/>
      <c r="AG894" s="105"/>
      <c r="AH894" s="53"/>
    </row>
    <row r="895" spans="32:34" ht="15">
      <c r="AF895" s="53"/>
      <c r="AG895" s="105"/>
      <c r="AH895" s="53"/>
    </row>
    <row r="896" spans="32:34" ht="15">
      <c r="AF896" s="53"/>
      <c r="AG896" s="105"/>
      <c r="AH896" s="53"/>
    </row>
    <row r="897" spans="32:34" ht="15">
      <c r="AF897" s="53"/>
      <c r="AG897" s="105"/>
      <c r="AH897" s="53"/>
    </row>
    <row r="898" spans="32:34" ht="15">
      <c r="AF898" s="53"/>
      <c r="AG898" s="105"/>
      <c r="AH898" s="53"/>
    </row>
    <row r="899" spans="32:34" ht="15">
      <c r="AF899" s="53"/>
      <c r="AG899" s="105"/>
      <c r="AH899" s="53"/>
    </row>
    <row r="900" spans="32:34" ht="15">
      <c r="AF900" s="53"/>
      <c r="AG900" s="105"/>
      <c r="AH900" s="53"/>
    </row>
    <row r="901" spans="32:34" ht="15">
      <c r="AF901" s="53"/>
      <c r="AG901" s="105"/>
      <c r="AH901" s="53"/>
    </row>
    <row r="902" spans="32:34" ht="15">
      <c r="AF902" s="53"/>
      <c r="AG902" s="105"/>
      <c r="AH902" s="53"/>
    </row>
    <row r="903" spans="32:34" ht="15">
      <c r="AF903" s="53"/>
      <c r="AG903" s="105"/>
      <c r="AH903" s="53"/>
    </row>
    <row r="904" spans="32:34" ht="15">
      <c r="AF904" s="53"/>
      <c r="AG904" s="105"/>
      <c r="AH904" s="53"/>
    </row>
    <row r="905" spans="32:34" ht="15">
      <c r="AF905" s="53"/>
      <c r="AG905" s="105"/>
      <c r="AH905" s="53"/>
    </row>
    <row r="906" spans="32:34" ht="15">
      <c r="AF906" s="53"/>
      <c r="AG906" s="105"/>
      <c r="AH906" s="53"/>
    </row>
    <row r="907" spans="32:34" ht="15">
      <c r="AF907" s="53"/>
      <c r="AG907" s="105"/>
      <c r="AH907" s="53"/>
    </row>
    <row r="908" spans="32:34" ht="15">
      <c r="AF908" s="53"/>
      <c r="AG908" s="105"/>
      <c r="AH908" s="53"/>
    </row>
    <row r="909" spans="32:34" ht="15">
      <c r="AF909" s="53"/>
      <c r="AG909" s="105"/>
      <c r="AH909" s="53"/>
    </row>
    <row r="910" spans="32:34" ht="15">
      <c r="AF910" s="53"/>
      <c r="AG910" s="105"/>
      <c r="AH910" s="53"/>
    </row>
    <row r="911" spans="32:34" ht="15">
      <c r="AF911" s="53"/>
      <c r="AG911" s="105"/>
      <c r="AH911" s="53"/>
    </row>
    <row r="912" spans="32:34" ht="15">
      <c r="AF912" s="53"/>
      <c r="AG912" s="105"/>
      <c r="AH912" s="53"/>
    </row>
    <row r="913" spans="32:34" ht="15">
      <c r="AF913" s="53"/>
      <c r="AG913" s="105"/>
      <c r="AH913" s="53"/>
    </row>
    <row r="914" spans="32:34" ht="15">
      <c r="AF914" s="53"/>
      <c r="AG914" s="105"/>
      <c r="AH914" s="53"/>
    </row>
    <row r="915" spans="32:34" ht="15">
      <c r="AF915" s="53"/>
      <c r="AG915" s="105"/>
      <c r="AH915" s="53"/>
    </row>
    <row r="916" spans="32:34" ht="15">
      <c r="AF916" s="53"/>
      <c r="AG916" s="105"/>
      <c r="AH916" s="53"/>
    </row>
    <row r="917" spans="32:34" ht="15">
      <c r="AF917" s="53"/>
      <c r="AG917" s="105"/>
      <c r="AH917" s="53"/>
    </row>
    <row r="918" spans="32:34" ht="15">
      <c r="AF918" s="53"/>
      <c r="AG918" s="105"/>
      <c r="AH918" s="53"/>
    </row>
    <row r="919" spans="32:34" ht="15">
      <c r="AF919" s="53"/>
      <c r="AG919" s="105"/>
      <c r="AH919" s="53"/>
    </row>
    <row r="920" spans="32:34" ht="15">
      <c r="AF920" s="53"/>
      <c r="AG920" s="105"/>
      <c r="AH920" s="53"/>
    </row>
    <row r="921" spans="32:34" ht="15">
      <c r="AF921" s="53"/>
      <c r="AG921" s="105"/>
      <c r="AH921" s="53"/>
    </row>
    <row r="922" spans="32:34" ht="15">
      <c r="AF922" s="53"/>
      <c r="AG922" s="105"/>
      <c r="AH922" s="53"/>
    </row>
    <row r="923" spans="32:34" ht="15">
      <c r="AF923" s="53"/>
      <c r="AG923" s="105"/>
      <c r="AH923" s="53"/>
    </row>
    <row r="924" spans="32:34" ht="15">
      <c r="AF924" s="53"/>
      <c r="AG924" s="105"/>
      <c r="AH924" s="53"/>
    </row>
    <row r="925" spans="32:34" ht="15">
      <c r="AF925" s="53"/>
      <c r="AG925" s="105"/>
      <c r="AH925" s="53"/>
    </row>
    <row r="926" spans="32:34" ht="15">
      <c r="AF926" s="53"/>
      <c r="AG926" s="105"/>
      <c r="AH926" s="53"/>
    </row>
    <row r="927" spans="32:34" ht="15">
      <c r="AF927" s="53"/>
      <c r="AG927" s="105"/>
      <c r="AH927" s="53"/>
    </row>
    <row r="928" spans="32:34" ht="15">
      <c r="AF928" s="53"/>
      <c r="AG928" s="105"/>
      <c r="AH928" s="53"/>
    </row>
    <row r="929" spans="32:34" ht="15">
      <c r="AF929" s="53"/>
      <c r="AG929" s="105"/>
      <c r="AH929" s="53"/>
    </row>
    <row r="930" spans="32:34" ht="15">
      <c r="AF930" s="53"/>
      <c r="AG930" s="105"/>
      <c r="AH930" s="53"/>
    </row>
    <row r="931" spans="32:34" ht="15">
      <c r="AF931" s="53"/>
      <c r="AG931" s="105"/>
      <c r="AH931" s="53"/>
    </row>
    <row r="932" spans="32:34" ht="15">
      <c r="AF932" s="53"/>
      <c r="AG932" s="105"/>
      <c r="AH932" s="53"/>
    </row>
    <row r="933" spans="32:34" ht="15">
      <c r="AF933" s="53"/>
      <c r="AG933" s="105"/>
      <c r="AH933" s="53"/>
    </row>
    <row r="934" spans="32:34" ht="15">
      <c r="AF934" s="53"/>
      <c r="AG934" s="105"/>
      <c r="AH934" s="53"/>
    </row>
    <row r="935" spans="32:34" ht="15">
      <c r="AF935" s="53"/>
      <c r="AG935" s="105"/>
      <c r="AH935" s="53"/>
    </row>
    <row r="936" spans="32:34" ht="15">
      <c r="AF936" s="53"/>
      <c r="AG936" s="105"/>
      <c r="AH936" s="53"/>
    </row>
    <row r="937" spans="32:34" ht="15">
      <c r="AF937" s="53"/>
      <c r="AG937" s="105"/>
      <c r="AH937" s="53"/>
    </row>
    <row r="938" spans="32:34" ht="15">
      <c r="AF938" s="53"/>
      <c r="AG938" s="105"/>
      <c r="AH938" s="53"/>
    </row>
    <row r="939" spans="32:34" ht="15">
      <c r="AF939" s="53"/>
      <c r="AG939" s="105"/>
      <c r="AH939" s="53"/>
    </row>
    <row r="940" spans="32:34" ht="15">
      <c r="AF940" s="53"/>
      <c r="AG940" s="105"/>
      <c r="AH940" s="53"/>
    </row>
    <row r="941" spans="32:34" ht="15">
      <c r="AF941" s="53"/>
      <c r="AG941" s="105"/>
      <c r="AH941" s="53"/>
    </row>
    <row r="942" spans="32:34" ht="15">
      <c r="AF942" s="53"/>
      <c r="AG942" s="105"/>
      <c r="AH942" s="53"/>
    </row>
    <row r="943" spans="32:34" ht="15">
      <c r="AF943" s="53"/>
      <c r="AG943" s="53"/>
      <c r="AH943" s="53"/>
    </row>
    <row r="944" spans="32:34" ht="15">
      <c r="AF944" s="53"/>
      <c r="AG944" s="53"/>
      <c r="AH944" s="53"/>
    </row>
    <row r="945" spans="32:34" ht="15">
      <c r="AF945" s="53"/>
      <c r="AG945" s="53"/>
      <c r="AH945" s="53"/>
    </row>
    <row r="946" spans="32:34" ht="15">
      <c r="AF946" s="53"/>
      <c r="AG946" s="53"/>
      <c r="AH946" s="53"/>
    </row>
    <row r="947" spans="32:34" ht="15">
      <c r="AF947" s="53"/>
      <c r="AG947" s="53"/>
      <c r="AH947" s="53"/>
    </row>
    <row r="948" spans="32:34" ht="15">
      <c r="AF948" s="53"/>
      <c r="AG948" s="53"/>
      <c r="AH948" s="53"/>
    </row>
    <row r="949" spans="32:34" ht="15">
      <c r="AF949" s="53"/>
      <c r="AG949" s="53"/>
      <c r="AH949" s="53"/>
    </row>
    <row r="950" spans="32:34" ht="15">
      <c r="AF950" s="53"/>
      <c r="AG950" s="53"/>
      <c r="AH950" s="53"/>
    </row>
    <row r="951" spans="32:34" ht="15">
      <c r="AF951" s="53"/>
      <c r="AG951" s="53"/>
      <c r="AH951" s="53"/>
    </row>
    <row r="952" spans="32:34" ht="15">
      <c r="AF952" s="53"/>
      <c r="AG952" s="53"/>
      <c r="AH952" s="53"/>
    </row>
    <row r="953" spans="32:34" ht="15">
      <c r="AF953" s="53"/>
      <c r="AG953" s="53"/>
      <c r="AH953" s="53"/>
    </row>
    <row r="954" spans="32:34" ht="15">
      <c r="AF954" s="53"/>
      <c r="AG954" s="53"/>
      <c r="AH954" s="53"/>
    </row>
    <row r="955" spans="32:34" ht="15">
      <c r="AF955" s="53"/>
      <c r="AG955" s="53"/>
      <c r="AH955" s="53"/>
    </row>
    <row r="956" spans="32:34" ht="15">
      <c r="AF956" s="53"/>
      <c r="AG956" s="53"/>
      <c r="AH956" s="53"/>
    </row>
    <row r="957" spans="32:34" ht="15">
      <c r="AF957" s="53"/>
      <c r="AG957" s="53"/>
      <c r="AH957" s="53"/>
    </row>
    <row r="958" spans="32:34" ht="15">
      <c r="AF958" s="53"/>
      <c r="AG958" s="53"/>
      <c r="AH958" s="53"/>
    </row>
    <row r="959" spans="32:34" ht="15">
      <c r="AF959" s="53"/>
      <c r="AG959" s="53"/>
      <c r="AH959" s="53"/>
    </row>
    <row r="960" spans="32:34" ht="15">
      <c r="AF960" s="53"/>
      <c r="AG960" s="53"/>
      <c r="AH960" s="53"/>
    </row>
    <row r="961" spans="32:34" ht="15">
      <c r="AF961" s="53"/>
      <c r="AG961" s="53"/>
      <c r="AH961" s="53"/>
    </row>
    <row r="962" spans="32:34" ht="15">
      <c r="AF962" s="53"/>
      <c r="AG962" s="53"/>
      <c r="AH962" s="53"/>
    </row>
    <row r="963" spans="32:34" ht="15">
      <c r="AF963" s="53"/>
      <c r="AG963" s="53"/>
      <c r="AH963" s="53"/>
    </row>
    <row r="964" spans="32:34" ht="15">
      <c r="AF964" s="53"/>
      <c r="AG964" s="53"/>
      <c r="AH964" s="53"/>
    </row>
    <row r="965" spans="32:34" ht="15">
      <c r="AF965" s="53"/>
      <c r="AG965" s="53"/>
      <c r="AH965" s="53"/>
    </row>
    <row r="966" spans="32:34" ht="15">
      <c r="AF966" s="53"/>
      <c r="AG966" s="53"/>
      <c r="AH966" s="53"/>
    </row>
    <row r="967" spans="32:34" ht="15">
      <c r="AF967" s="53"/>
      <c r="AG967" s="53"/>
      <c r="AH967" s="53"/>
    </row>
    <row r="968" spans="32:34" ht="15">
      <c r="AF968" s="53"/>
      <c r="AG968" s="53"/>
      <c r="AH968" s="53"/>
    </row>
    <row r="969" spans="32:34" ht="15">
      <c r="AF969" s="53"/>
      <c r="AG969" s="53"/>
      <c r="AH969" s="53"/>
    </row>
    <row r="970" spans="32:34" ht="15">
      <c r="AF970" s="53"/>
      <c r="AG970" s="53"/>
      <c r="AH970" s="53"/>
    </row>
    <row r="971" spans="32:34" ht="15">
      <c r="AF971" s="53"/>
      <c r="AG971" s="53"/>
      <c r="AH971" s="53"/>
    </row>
    <row r="972" spans="32:34" ht="15">
      <c r="AF972" s="53"/>
      <c r="AG972" s="53"/>
      <c r="AH972" s="53"/>
    </row>
    <row r="973" spans="32:34" ht="15">
      <c r="AF973" s="53"/>
      <c r="AG973" s="53"/>
      <c r="AH973" s="53"/>
    </row>
    <row r="974" spans="32:34" ht="15">
      <c r="AF974" s="53"/>
      <c r="AG974" s="53"/>
      <c r="AH974" s="53"/>
    </row>
    <row r="975" spans="32:34" ht="15">
      <c r="AF975" s="53"/>
      <c r="AG975" s="53"/>
      <c r="AH975" s="53"/>
    </row>
    <row r="976" spans="32:34" ht="15">
      <c r="AF976" s="53"/>
      <c r="AG976" s="53"/>
      <c r="AH976" s="53"/>
    </row>
    <row r="977" spans="32:34" ht="15">
      <c r="AF977" s="53"/>
      <c r="AG977" s="53"/>
      <c r="AH977" s="53"/>
    </row>
    <row r="978" spans="32:34" ht="15">
      <c r="AF978" s="53"/>
      <c r="AG978" s="53"/>
      <c r="AH978" s="53"/>
    </row>
    <row r="979" spans="32:34" ht="15">
      <c r="AF979" s="53"/>
      <c r="AG979" s="53"/>
      <c r="AH979" s="53"/>
    </row>
    <row r="980" spans="32:34" ht="15">
      <c r="AF980" s="53"/>
      <c r="AG980" s="53"/>
      <c r="AH980" s="53"/>
    </row>
    <row r="981" spans="32:34" ht="15">
      <c r="AF981" s="53"/>
      <c r="AG981" s="53"/>
      <c r="AH981" s="53"/>
    </row>
    <row r="982" spans="32:34" ht="15">
      <c r="AF982" s="53"/>
      <c r="AG982" s="53"/>
      <c r="AH982" s="53"/>
    </row>
    <row r="983" spans="32:34" ht="15">
      <c r="AF983" s="53"/>
      <c r="AG983" s="53"/>
      <c r="AH983" s="53"/>
    </row>
    <row r="984" spans="32:34" ht="15">
      <c r="AF984" s="53"/>
      <c r="AG984" s="53"/>
      <c r="AH984" s="53"/>
    </row>
    <row r="985" spans="32:34" ht="15">
      <c r="AF985" s="53"/>
      <c r="AG985" s="53"/>
      <c r="AH985" s="53"/>
    </row>
    <row r="986" spans="32:34" ht="15">
      <c r="AF986" s="53"/>
      <c r="AG986" s="53"/>
      <c r="AH986" s="53"/>
    </row>
    <row r="987" spans="32:34" ht="15">
      <c r="AF987" s="53"/>
      <c r="AG987" s="53"/>
      <c r="AH987" s="53"/>
    </row>
    <row r="988" spans="32:34" ht="15">
      <c r="AF988" s="53"/>
      <c r="AG988" s="53"/>
      <c r="AH988" s="53"/>
    </row>
    <row r="989" spans="32:34" ht="15">
      <c r="AF989" s="53"/>
      <c r="AG989" s="53"/>
      <c r="AH989" s="53"/>
    </row>
    <row r="990" spans="32:34" ht="15">
      <c r="AF990" s="53"/>
      <c r="AG990" s="53"/>
      <c r="AH990" s="53"/>
    </row>
    <row r="991" spans="32:34" ht="15">
      <c r="AF991" s="53"/>
      <c r="AG991" s="53"/>
      <c r="AH991" s="53"/>
    </row>
    <row r="992" spans="32:34" ht="15">
      <c r="AF992" s="53"/>
      <c r="AG992" s="53"/>
      <c r="AH992" s="53"/>
    </row>
    <row r="993" spans="32:34" ht="15">
      <c r="AF993" s="53"/>
      <c r="AG993" s="53"/>
      <c r="AH993" s="53"/>
    </row>
    <row r="994" spans="32:34" ht="15">
      <c r="AF994" s="53"/>
      <c r="AG994" s="53"/>
      <c r="AH994" s="53"/>
    </row>
    <row r="995" spans="32:34" ht="15">
      <c r="AF995" s="53"/>
      <c r="AG995" s="53"/>
      <c r="AH995" s="53"/>
    </row>
    <row r="996" spans="32:34" ht="15">
      <c r="AF996" s="53"/>
      <c r="AG996" s="53"/>
      <c r="AH996" s="53"/>
    </row>
    <row r="997" spans="32:34" ht="15">
      <c r="AF997" s="53"/>
      <c r="AG997" s="53"/>
      <c r="AH997" s="53"/>
    </row>
    <row r="998" spans="32:34" ht="15">
      <c r="AF998" s="53"/>
      <c r="AG998" s="53"/>
      <c r="AH998" s="53"/>
    </row>
    <row r="999" spans="32:34" ht="15">
      <c r="AF999" s="53"/>
      <c r="AG999" s="53"/>
      <c r="AH999" s="53"/>
    </row>
    <row r="1000" spans="32:34" ht="15">
      <c r="AF1000" s="53"/>
      <c r="AG1000" s="53"/>
      <c r="AH1000" s="53"/>
    </row>
    <row r="1001" spans="32:34" ht="15">
      <c r="AF1001" s="53"/>
      <c r="AG1001" s="53"/>
      <c r="AH1001" s="53"/>
    </row>
    <row r="1002" spans="32:34" ht="15">
      <c r="AF1002" s="53"/>
      <c r="AH1002" s="53"/>
    </row>
    <row r="1003" spans="32:34" ht="15">
      <c r="AF1003" s="53"/>
      <c r="AH1003" s="53"/>
    </row>
    <row r="1004" spans="32:34" ht="15">
      <c r="AF1004" s="53"/>
      <c r="AH1004" s="53"/>
    </row>
    <row r="1005" spans="32:34" ht="15">
      <c r="AF1005" s="53"/>
      <c r="AH1005" s="53"/>
    </row>
    <row r="1006" spans="32:34" ht="15">
      <c r="AF1006" s="53"/>
      <c r="AH1006" s="53"/>
    </row>
    <row r="1007" spans="32:34" ht="15">
      <c r="AF1007" s="53"/>
      <c r="AH1007" s="53"/>
    </row>
    <row r="1008" spans="32:34" ht="15">
      <c r="AF1008" s="53"/>
      <c r="AH1008" s="53"/>
    </row>
    <row r="1009" spans="32:34" ht="15">
      <c r="AF1009" s="53"/>
      <c r="AH1009" s="53"/>
    </row>
    <row r="1010" spans="32:34" ht="15">
      <c r="AF1010" s="53"/>
      <c r="AH1010" s="53"/>
    </row>
    <row r="1011" spans="32:34" ht="15">
      <c r="AF1011" s="53"/>
      <c r="AH1011" s="53"/>
    </row>
    <row r="1012" spans="32:34" ht="15">
      <c r="AF1012" s="53"/>
      <c r="AH1012" s="53"/>
    </row>
    <row r="1013" spans="32:34" ht="15">
      <c r="AF1013" s="53"/>
      <c r="AH1013" s="53"/>
    </row>
    <row r="1014" spans="32:34" ht="15">
      <c r="AF1014" s="53"/>
      <c r="AH1014" s="53"/>
    </row>
    <row r="1015" spans="32:34" ht="15">
      <c r="AF1015" s="53"/>
      <c r="AH1015" s="53"/>
    </row>
    <row r="1016" spans="32:34" ht="15">
      <c r="AF1016" s="53"/>
      <c r="AH1016" s="53"/>
    </row>
    <row r="1017" spans="32:34" ht="15">
      <c r="AF1017" s="53"/>
      <c r="AH1017" s="53"/>
    </row>
    <row r="1018" spans="32:34" ht="15">
      <c r="AF1018" s="53"/>
      <c r="AH1018" s="53"/>
    </row>
    <row r="1019" spans="32:34" ht="15">
      <c r="AF1019" s="53"/>
      <c r="AH1019" s="53"/>
    </row>
    <row r="1020" spans="32:34" ht="15">
      <c r="AF1020" s="53"/>
      <c r="AH1020" s="53"/>
    </row>
    <row r="1021" spans="32:34" ht="15">
      <c r="AF1021" s="53"/>
      <c r="AH1021" s="53"/>
    </row>
    <row r="1022" spans="32:34" ht="15">
      <c r="AF1022" s="53"/>
      <c r="AH1022" s="53"/>
    </row>
    <row r="1023" spans="32:34" ht="15">
      <c r="AF1023" s="53"/>
      <c r="AH1023" s="53"/>
    </row>
    <row r="1024" spans="32:34" ht="15">
      <c r="AF1024" s="53"/>
      <c r="AH1024" s="53"/>
    </row>
    <row r="1025" spans="32:34" ht="15">
      <c r="AF1025" s="53"/>
      <c r="AH1025" s="53"/>
    </row>
    <row r="1026" spans="32:34" ht="15">
      <c r="AF1026" s="53"/>
      <c r="AH1026" s="53"/>
    </row>
    <row r="1027" spans="32:34" ht="15">
      <c r="AF1027" s="53"/>
      <c r="AH1027" s="53"/>
    </row>
    <row r="1028" spans="32:34" ht="15">
      <c r="AF1028" s="53"/>
      <c r="AH1028" s="53"/>
    </row>
    <row r="1029" spans="32:34" ht="15">
      <c r="AF1029" s="53"/>
      <c r="AH1029" s="53"/>
    </row>
    <row r="1030" spans="32:34" ht="15">
      <c r="AF1030" s="53"/>
      <c r="AH1030" s="53"/>
    </row>
    <row r="1031" spans="32:34" ht="15">
      <c r="AF1031" s="53"/>
      <c r="AH1031" s="53"/>
    </row>
    <row r="1032" spans="32:34" ht="15">
      <c r="AF1032" s="53"/>
      <c r="AH1032" s="53"/>
    </row>
    <row r="1033" spans="32:34" ht="15">
      <c r="AF1033" s="53"/>
      <c r="AH1033" s="53"/>
    </row>
    <row r="1034" spans="32:34" ht="15">
      <c r="AF1034" s="53"/>
      <c r="AH1034" s="53"/>
    </row>
    <row r="1035" spans="32:34" ht="15">
      <c r="AF1035" s="53"/>
      <c r="AH1035" s="53"/>
    </row>
    <row r="1036" spans="32:34" ht="15">
      <c r="AF1036" s="53"/>
      <c r="AH1036" s="53"/>
    </row>
    <row r="1037" spans="32:34" ht="15">
      <c r="AF1037" s="53"/>
      <c r="AH1037" s="53"/>
    </row>
    <row r="1038" spans="32:34" ht="15">
      <c r="AF1038" s="53"/>
      <c r="AH1038" s="53"/>
    </row>
    <row r="1039" spans="32:34" ht="15">
      <c r="AF1039" s="53"/>
      <c r="AH1039" s="53"/>
    </row>
    <row r="1040" spans="32:34" ht="15">
      <c r="AF1040" s="53"/>
      <c r="AH1040" s="53"/>
    </row>
    <row r="1041" spans="32:34" ht="15">
      <c r="AF1041" s="53"/>
      <c r="AH1041" s="53"/>
    </row>
    <row r="1042" spans="32:34" ht="15">
      <c r="AF1042" s="53"/>
      <c r="AH1042" s="53"/>
    </row>
    <row r="1043" spans="32:34" ht="15">
      <c r="AF1043" s="53"/>
      <c r="AH1043" s="53"/>
    </row>
    <row r="1044" spans="32:34" ht="15">
      <c r="AF1044" s="53"/>
      <c r="AH1044" s="53"/>
    </row>
    <row r="1045" spans="32:34" ht="15">
      <c r="AF1045" s="53"/>
      <c r="AH1045" s="53"/>
    </row>
    <row r="1046" spans="32:34" ht="15">
      <c r="AF1046" s="53"/>
      <c r="AH1046" s="53"/>
    </row>
    <row r="1047" spans="32:34" ht="15">
      <c r="AF1047" s="53"/>
      <c r="AH1047" s="53"/>
    </row>
    <row r="1048" spans="32:34" ht="15">
      <c r="AF1048" s="53"/>
      <c r="AH1048" s="53"/>
    </row>
    <row r="1049" spans="32:34" ht="15">
      <c r="AF1049" s="53"/>
      <c r="AH1049" s="53"/>
    </row>
    <row r="1050" spans="32:34" ht="15">
      <c r="AF1050" s="53"/>
      <c r="AH1050" s="53"/>
    </row>
    <row r="1051" spans="32:34" ht="15">
      <c r="AF1051" s="53"/>
      <c r="AH1051" s="53"/>
    </row>
    <row r="1052" spans="32:34" ht="15">
      <c r="AF1052" s="53"/>
      <c r="AH1052" s="53"/>
    </row>
    <row r="1053" spans="32:34" ht="15">
      <c r="AF1053" s="53"/>
      <c r="AH1053" s="53"/>
    </row>
    <row r="1054" spans="32:34" ht="15">
      <c r="AF1054" s="53"/>
      <c r="AH1054" s="53"/>
    </row>
    <row r="1055" spans="32:34" ht="15">
      <c r="AF1055" s="53"/>
      <c r="AH1055" s="53"/>
    </row>
    <row r="1056" spans="32:34" ht="15">
      <c r="AF1056" s="53"/>
      <c r="AH1056" s="53"/>
    </row>
    <row r="1057" spans="32:34" ht="15">
      <c r="AF1057" s="53"/>
      <c r="AH1057" s="53"/>
    </row>
    <row r="1058" spans="32:34" ht="15">
      <c r="AF1058" s="53"/>
      <c r="AH1058" s="53"/>
    </row>
    <row r="1059" spans="32:34" ht="15">
      <c r="AF1059" s="53"/>
      <c r="AH1059" s="53"/>
    </row>
    <row r="1060" spans="32:34" ht="15">
      <c r="AF1060" s="53"/>
      <c r="AH1060" s="53"/>
    </row>
    <row r="1061" spans="32:34" ht="15">
      <c r="AF1061" s="53"/>
      <c r="AH1061" s="53"/>
    </row>
    <row r="1062" spans="32:34" ht="15">
      <c r="AF1062" s="53"/>
      <c r="AH1062" s="53"/>
    </row>
    <row r="1063" spans="32:34" ht="15">
      <c r="AF1063" s="53"/>
      <c r="AH1063" s="53"/>
    </row>
    <row r="1064" spans="32:34" ht="15">
      <c r="AF1064" s="53"/>
      <c r="AH1064" s="53"/>
    </row>
    <row r="1065" spans="32:34" ht="15">
      <c r="AF1065" s="53"/>
      <c r="AH1065" s="53"/>
    </row>
    <row r="1066" spans="32:34" ht="15">
      <c r="AF1066" s="53"/>
      <c r="AH1066" s="53"/>
    </row>
    <row r="1067" spans="32:34" ht="15">
      <c r="AF1067" s="53"/>
      <c r="AH1067" s="53"/>
    </row>
    <row r="1068" spans="32:34" ht="15">
      <c r="AF1068" s="53"/>
      <c r="AH1068" s="53"/>
    </row>
    <row r="1069" spans="32:34" ht="15">
      <c r="AF1069" s="53"/>
      <c r="AH1069" s="53"/>
    </row>
    <row r="1070" spans="32:34" ht="15">
      <c r="AF1070" s="53"/>
      <c r="AH1070" s="53"/>
    </row>
    <row r="1071" spans="32:34" ht="15">
      <c r="AF1071" s="53"/>
      <c r="AH1071" s="53"/>
    </row>
    <row r="1072" spans="32:34" ht="15">
      <c r="AF1072" s="53"/>
      <c r="AH1072" s="53"/>
    </row>
    <row r="1073" spans="32:34" ht="15">
      <c r="AF1073" s="53"/>
      <c r="AH1073" s="53"/>
    </row>
    <row r="1074" spans="32:34" ht="15">
      <c r="AF1074" s="53"/>
      <c r="AH1074" s="53"/>
    </row>
    <row r="1075" spans="32:34" ht="15">
      <c r="AF1075" s="53"/>
      <c r="AH1075" s="53"/>
    </row>
    <row r="1076" spans="32:34" ht="15">
      <c r="AF1076" s="53"/>
      <c r="AH1076" s="53"/>
    </row>
    <row r="1077" spans="32:34" ht="15">
      <c r="AF1077" s="53"/>
      <c r="AH1077" s="53"/>
    </row>
    <row r="1078" spans="32:34" ht="15">
      <c r="AF1078" s="53"/>
      <c r="AH1078" s="53"/>
    </row>
    <row r="1079" spans="32:34" ht="15">
      <c r="AF1079" s="53"/>
      <c r="AH1079" s="53"/>
    </row>
    <row r="1080" spans="32:34" ht="15">
      <c r="AF1080" s="53"/>
      <c r="AH1080" s="53"/>
    </row>
    <row r="1081" spans="32:34" ht="15">
      <c r="AF1081" s="53"/>
      <c r="AH1081" s="53"/>
    </row>
    <row r="1082" spans="32:34" ht="15">
      <c r="AF1082" s="53"/>
      <c r="AH1082" s="53"/>
    </row>
    <row r="1083" spans="32:34" ht="15">
      <c r="AF1083" s="53"/>
      <c r="AH1083" s="53"/>
    </row>
    <row r="1084" spans="32:34" ht="15">
      <c r="AF1084" s="53"/>
      <c r="AH1084" s="53"/>
    </row>
    <row r="1085" spans="32:34" ht="15">
      <c r="AF1085" s="53"/>
      <c r="AH1085" s="53"/>
    </row>
    <row r="1086" spans="32:34" ht="15">
      <c r="AF1086" s="53"/>
      <c r="AH1086" s="53"/>
    </row>
    <row r="1087" spans="32:34" ht="15">
      <c r="AF1087" s="53"/>
      <c r="AH1087" s="53"/>
    </row>
    <row r="1088" spans="32:34" ht="15">
      <c r="AF1088" s="53"/>
      <c r="AH1088" s="53"/>
    </row>
    <row r="1089" spans="32:34" ht="15">
      <c r="AF1089" s="53"/>
      <c r="AH1089" s="53"/>
    </row>
    <row r="1090" spans="32:34" ht="15">
      <c r="AF1090" s="53"/>
      <c r="AH1090" s="53"/>
    </row>
    <row r="1091" spans="32:34" ht="15">
      <c r="AF1091" s="53"/>
      <c r="AH1091" s="53"/>
    </row>
    <row r="1092" spans="32:34" ht="15">
      <c r="AF1092" s="53"/>
      <c r="AH1092" s="53"/>
    </row>
    <row r="1093" spans="32:34" ht="15">
      <c r="AF1093" s="53"/>
      <c r="AH1093" s="53"/>
    </row>
    <row r="1094" spans="32:34" ht="15">
      <c r="AF1094" s="53"/>
      <c r="AH1094" s="53"/>
    </row>
    <row r="1095" spans="32:34" ht="15">
      <c r="AF1095" s="53"/>
      <c r="AH1095" s="53"/>
    </row>
    <row r="1096" spans="32:34" ht="15">
      <c r="AF1096" s="53"/>
      <c r="AH1096" s="53"/>
    </row>
    <row r="1097" spans="32:34" ht="15">
      <c r="AF1097" s="53"/>
      <c r="AH1097" s="53"/>
    </row>
    <row r="1098" spans="32:34" ht="15">
      <c r="AF1098" s="53"/>
      <c r="AH1098" s="53"/>
    </row>
    <row r="1099" spans="32:34" ht="15">
      <c r="AF1099" s="53"/>
      <c r="AH1099" s="53"/>
    </row>
    <row r="1100" spans="32:34" ht="15">
      <c r="AF1100" s="53"/>
      <c r="AH1100" s="53"/>
    </row>
    <row r="1101" spans="32:34" ht="15">
      <c r="AF1101" s="53"/>
      <c r="AH1101" s="53"/>
    </row>
    <row r="1102" spans="32:34" ht="15">
      <c r="AF1102" s="53"/>
      <c r="AH1102" s="53"/>
    </row>
    <row r="1103" spans="32:34" ht="15">
      <c r="AF1103" s="53"/>
      <c r="AH1103" s="53"/>
    </row>
    <row r="1104" spans="32:34" ht="15">
      <c r="AF1104" s="53"/>
      <c r="AH1104" s="53"/>
    </row>
    <row r="1105" spans="32:34" ht="15">
      <c r="AF1105" s="53"/>
      <c r="AH1105" s="53"/>
    </row>
    <row r="1106" spans="32:34" ht="15">
      <c r="AF1106" s="53"/>
      <c r="AH1106" s="53"/>
    </row>
    <row r="1107" spans="32:34" ht="15">
      <c r="AF1107" s="53"/>
      <c r="AH1107" s="53"/>
    </row>
    <row r="1108" spans="32:34" ht="15">
      <c r="AF1108" s="53"/>
      <c r="AH1108" s="53"/>
    </row>
    <row r="1109" spans="32:34" ht="15">
      <c r="AF1109" s="53"/>
      <c r="AH1109" s="53"/>
    </row>
    <row r="1110" spans="32:34" ht="15">
      <c r="AF1110" s="53"/>
      <c r="AH1110" s="53"/>
    </row>
    <row r="1111" spans="32:34" ht="15">
      <c r="AF1111" s="53"/>
      <c r="AH1111" s="53"/>
    </row>
    <row r="1112" spans="32:34" ht="15">
      <c r="AF1112" s="53"/>
      <c r="AH1112" s="53"/>
    </row>
    <row r="1113" spans="32:34" ht="15">
      <c r="AF1113" s="53"/>
      <c r="AH1113" s="53"/>
    </row>
    <row r="1114" spans="32:34" ht="15">
      <c r="AF1114" s="53"/>
      <c r="AH1114" s="53"/>
    </row>
    <row r="1115" spans="32:34" ht="15">
      <c r="AF1115" s="53"/>
      <c r="AH1115" s="53"/>
    </row>
    <row r="1116" spans="32:34" ht="15">
      <c r="AF1116" s="53"/>
      <c r="AH1116" s="53"/>
    </row>
    <row r="1117" spans="32:34" ht="15">
      <c r="AF1117" s="53"/>
      <c r="AH1117" s="53"/>
    </row>
    <row r="1118" spans="32:34" ht="15">
      <c r="AF1118" s="53"/>
      <c r="AH1118" s="53"/>
    </row>
    <row r="1119" spans="32:34" ht="15">
      <c r="AF1119" s="53"/>
      <c r="AH1119" s="53"/>
    </row>
    <row r="1120" spans="32:34" ht="15">
      <c r="AF1120" s="53"/>
      <c r="AH1120" s="53"/>
    </row>
    <row r="1121" spans="32:34" ht="15">
      <c r="AF1121" s="53"/>
      <c r="AH1121" s="53"/>
    </row>
    <row r="1122" spans="32:34" ht="15">
      <c r="AF1122" s="53"/>
      <c r="AH1122" s="53"/>
    </row>
    <row r="1123" spans="32:34" ht="15">
      <c r="AF1123" s="53"/>
      <c r="AH1123" s="53"/>
    </row>
    <row r="1124" spans="32:34" ht="15">
      <c r="AF1124" s="53"/>
      <c r="AH1124" s="53"/>
    </row>
    <row r="1125" spans="32:34" ht="15">
      <c r="AF1125" s="53"/>
      <c r="AH1125" s="53"/>
    </row>
    <row r="1126" spans="32:34" ht="15">
      <c r="AF1126" s="53"/>
      <c r="AH1126" s="53"/>
    </row>
    <row r="1127" spans="32:34" ht="15">
      <c r="AF1127" s="53"/>
      <c r="AH1127" s="53"/>
    </row>
    <row r="1128" spans="32:34" ht="15">
      <c r="AF1128" s="53"/>
      <c r="AH1128" s="53"/>
    </row>
    <row r="1129" spans="32:34" ht="15">
      <c r="AF1129" s="53"/>
      <c r="AH1129" s="53"/>
    </row>
    <row r="1130" spans="32:34" ht="15">
      <c r="AF1130" s="53"/>
      <c r="AH1130" s="53"/>
    </row>
    <row r="1131" spans="32:34" ht="15">
      <c r="AF1131" s="53"/>
      <c r="AH1131" s="53"/>
    </row>
    <row r="1132" spans="32:34" ht="15">
      <c r="AF1132" s="53"/>
      <c r="AH1132" s="53"/>
    </row>
    <row r="1133" spans="32:34" ht="15">
      <c r="AF1133" s="53"/>
      <c r="AH1133" s="53"/>
    </row>
    <row r="1134" spans="32:34" ht="15">
      <c r="AF1134" s="53"/>
      <c r="AH1134" s="53"/>
    </row>
    <row r="1135" spans="32:34" ht="15">
      <c r="AF1135" s="53"/>
      <c r="AH1135" s="53"/>
    </row>
    <row r="1136" spans="32:34" ht="15">
      <c r="AF1136" s="53"/>
      <c r="AH1136" s="53"/>
    </row>
    <row r="1137" spans="32:34" ht="15">
      <c r="AF1137" s="53"/>
      <c r="AH1137" s="53"/>
    </row>
    <row r="1138" spans="32:34" ht="15">
      <c r="AF1138" s="53"/>
      <c r="AH1138" s="53"/>
    </row>
    <row r="1139" spans="32:34" ht="15">
      <c r="AF1139" s="53"/>
      <c r="AH1139" s="53"/>
    </row>
    <row r="1140" spans="32:34" ht="15">
      <c r="AF1140" s="53"/>
      <c r="AH1140" s="53"/>
    </row>
    <row r="1141" spans="32:34" ht="15">
      <c r="AF1141" s="53"/>
      <c r="AH1141" s="53"/>
    </row>
    <row r="1142" spans="32:34" ht="15">
      <c r="AF1142" s="53"/>
      <c r="AH1142" s="53"/>
    </row>
    <row r="1143" spans="32:34" ht="15">
      <c r="AF1143" s="53"/>
      <c r="AH1143" s="53"/>
    </row>
    <row r="1144" spans="32:34" ht="15">
      <c r="AF1144" s="53"/>
      <c r="AH1144" s="53"/>
    </row>
    <row r="1145" spans="32:34" ht="15">
      <c r="AF1145" s="53"/>
      <c r="AH1145" s="53"/>
    </row>
    <row r="1146" spans="32:34" ht="15">
      <c r="AF1146" s="53"/>
      <c r="AH1146" s="53"/>
    </row>
    <row r="1147" spans="32:34" ht="15">
      <c r="AF1147" s="53"/>
      <c r="AH1147" s="53"/>
    </row>
    <row r="1148" spans="32:34" ht="15">
      <c r="AF1148" s="53"/>
      <c r="AH1148" s="53"/>
    </row>
    <row r="1149" spans="32:34" ht="15">
      <c r="AF1149" s="53"/>
      <c r="AH1149" s="53"/>
    </row>
    <row r="1150" spans="32:34" ht="15">
      <c r="AF1150" s="53"/>
      <c r="AH1150" s="53"/>
    </row>
    <row r="1151" spans="32:34" ht="15">
      <c r="AF1151" s="53"/>
      <c r="AH1151" s="53"/>
    </row>
    <row r="1152" spans="32:34" ht="15">
      <c r="AF1152" s="53"/>
      <c r="AH1152" s="53"/>
    </row>
    <row r="1153" spans="32:34" ht="15">
      <c r="AF1153" s="53"/>
      <c r="AH1153" s="53"/>
    </row>
    <row r="1154" spans="32:34" ht="15">
      <c r="AF1154" s="53"/>
      <c r="AH1154" s="53"/>
    </row>
    <row r="1155" spans="32:34" ht="15">
      <c r="AF1155" s="53"/>
      <c r="AH1155" s="53"/>
    </row>
    <row r="1156" spans="32:34" ht="15">
      <c r="AF1156" s="53"/>
      <c r="AH1156" s="53"/>
    </row>
    <row r="1157" spans="32:34" ht="15">
      <c r="AF1157" s="53"/>
      <c r="AH1157" s="53"/>
    </row>
    <row r="1158" spans="32:34" ht="15">
      <c r="AF1158" s="53"/>
      <c r="AH1158" s="53"/>
    </row>
    <row r="1159" spans="32:34" ht="15">
      <c r="AF1159" s="53"/>
      <c r="AH1159" s="53"/>
    </row>
    <row r="1160" spans="32:34" ht="15">
      <c r="AF1160" s="53"/>
      <c r="AH1160" s="53"/>
    </row>
    <row r="1161" spans="32:34" ht="15">
      <c r="AF1161" s="53"/>
      <c r="AH1161" s="53"/>
    </row>
    <row r="1162" spans="32:34" ht="15">
      <c r="AF1162" s="53"/>
      <c r="AH1162" s="53"/>
    </row>
    <row r="1163" spans="32:34" ht="15">
      <c r="AF1163" s="53"/>
      <c r="AH1163" s="53"/>
    </row>
  </sheetData>
  <sheetProtection selectLockedCells="1" selectUnlockedCells="1"/>
  <pageMargins left="0.7" right="0.7" top="0.75" bottom="0.75" header="0.3" footer="0.3"/>
  <pageSetup paperSize="9" orientation="portrait"/>
  <ignoredErrors>
    <ignoredError sqref="AF2:AG220"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16</vt:i4>
      </vt:variant>
    </vt:vector>
  </HeadingPairs>
  <TitlesOfParts>
    <vt:vector size="18" baseType="lpstr">
      <vt:lpstr>Data</vt:lpstr>
      <vt:lpstr>documentation</vt:lpstr>
      <vt:lpstr>Data!ADDITIONAL_INFO_IDENT_CODE</vt:lpstr>
      <vt:lpstr>Additional_Reference_Code</vt:lpstr>
      <vt:lpstr>Data!COUNTRY_CODE</vt:lpstr>
      <vt:lpstr>COUNTRY_TRADE_CODE</vt:lpstr>
      <vt:lpstr>Data!CURRENCY_CODE</vt:lpstr>
      <vt:lpstr>DELIVERY_TERMS_CODE</vt:lpstr>
      <vt:lpstr>Data!DISCHARGING_DECLARATION_CODE</vt:lpstr>
      <vt:lpstr>DOCUMENT_TYPE_CODE</vt:lpstr>
      <vt:lpstr>DOCUMENT_TYPE_CODE_BY</vt:lpstr>
      <vt:lpstr>Data!Export_From_EU</vt:lpstr>
      <vt:lpstr>Measure_Unit_Code</vt:lpstr>
      <vt:lpstr>Data!PACKAGE_CODE</vt:lpstr>
      <vt:lpstr>PAYMENT_TYPE_CODE</vt:lpstr>
      <vt:lpstr>PREVIOUS_DOCUMENT_TYPE_CODE</vt:lpstr>
      <vt:lpstr>TRANSACTION_TYPE_CODE</vt:lpstr>
      <vt:lpstr>Transport_Document_Code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Hussein Sabra</dc:creator>
  <cp:lastModifiedBy>ATH123456</cp:lastModifiedBy>
  <dcterms:created xsi:type="dcterms:W3CDTF">2015-07-21T13:02:00Z</dcterms:created>
  <dcterms:modified xsi:type="dcterms:W3CDTF">2026-02-21T07:44:18Z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3CE22ADF547F447EAAD9CE5304BAB844_13</vt:lpwstr>
  </property>
  <property fmtid="{D5CDD505-2E9C-101B-9397-08002B2CF9AE}" pid="3" name="KSOProductBuildVer">
    <vt:lpwstr>2052-12.1.0.24034</vt:lpwstr>
  </property>
  <property fmtid="{D5CDD505-2E9C-101B-9397-08002B2CF9AE}" pid="4" name="CalculationRule">
    <vt:i4>0</vt:i4>
  </property>
</Properties>
</file>